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:\Git\3d-printing\Extruder Force Sim\"/>
    </mc:Choice>
  </mc:AlternateContent>
  <xr:revisionPtr revIDLastSave="0" documentId="13_ncr:1_{EDA38446-FC76-4EF3-BA8B-F89A528A8129}" xr6:coauthVersionLast="47" xr6:coauthVersionMax="47" xr10:uidLastSave="{00000000-0000-0000-0000-000000000000}"/>
  <bookViews>
    <workbookView xWindow="-120" yWindow="-120" windowWidth="38640" windowHeight="21120" xr2:uid="{79D3E87F-7DBB-4D98-8D21-D77F5AB93611}"/>
  </bookViews>
  <sheets>
    <sheet name="Calculations" sheetId="1" r:id="rId1"/>
    <sheet name="Gear Calculator" sheetId="3" state="hidden" r:id="rId2"/>
    <sheet name="Torqu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1" l="1"/>
  <c r="K8" i="1"/>
  <c r="K11" i="1"/>
  <c r="K19" i="1"/>
  <c r="C4" i="3"/>
  <c r="C3" i="3"/>
  <c r="C2" i="3"/>
  <c r="C19" i="1"/>
  <c r="D19" i="1"/>
  <c r="E19" i="1"/>
  <c r="F19" i="1"/>
  <c r="G19" i="1"/>
  <c r="H19" i="1"/>
  <c r="I19" i="1"/>
  <c r="J19" i="1"/>
  <c r="B16" i="1"/>
  <c r="B19" i="1" s="1"/>
  <c r="D24" i="1" a="1"/>
  <c r="D24" i="1" s="1"/>
  <c r="C33" i="1" a="1"/>
  <c r="C33" i="1" s="1"/>
  <c r="B24" i="1" a="1"/>
  <c r="B24" i="1" s="1"/>
  <c r="B25" i="1" a="1"/>
  <c r="B25" i="1" s="1"/>
  <c r="B26" i="1" a="1"/>
  <c r="B26" i="1" s="1"/>
  <c r="B27" i="1" a="1"/>
  <c r="B27" i="1" s="1"/>
  <c r="B28" i="1" a="1"/>
  <c r="B28" i="1" s="1"/>
  <c r="Q4" i="1"/>
  <c r="J8" i="1"/>
  <c r="J11" i="1" s="1"/>
  <c r="J7" i="1"/>
  <c r="J10" i="1" s="1"/>
  <c r="I18" i="1"/>
  <c r="B8" i="1"/>
  <c r="B11" i="1" s="1"/>
  <c r="B7" i="1"/>
  <c r="B10" i="1" s="1"/>
  <c r="I11" i="1"/>
  <c r="I7" i="1"/>
  <c r="E8" i="1"/>
  <c r="E11" i="1" s="1"/>
  <c r="E7" i="1"/>
  <c r="D8" i="1"/>
  <c r="D11" i="1" s="1"/>
  <c r="D7" i="1"/>
  <c r="H11" i="1"/>
  <c r="H7" i="1"/>
  <c r="H10" i="1" s="1"/>
  <c r="G11" i="1"/>
  <c r="G7" i="1"/>
  <c r="G10" i="1" s="1"/>
  <c r="F11" i="1"/>
  <c r="C30" i="1" s="1" a="1"/>
  <c r="C30" i="1" s="1"/>
  <c r="F7" i="1"/>
  <c r="F10" i="1" s="1"/>
  <c r="C8" i="1"/>
  <c r="C11" i="1" s="1"/>
  <c r="C7" i="1"/>
  <c r="C10" i="1" s="1"/>
  <c r="K10" i="1" l="1"/>
  <c r="B30" i="1" a="1"/>
  <c r="B30" i="1" s="1"/>
  <c r="B29" i="1" a="1"/>
  <c r="B29" i="1" s="1"/>
  <c r="E25" i="1" a="1"/>
  <c r="E25" i="1" s="1"/>
  <c r="H41" i="1" a="1"/>
  <c r="H41" i="1" s="1"/>
  <c r="H33" i="1" a="1"/>
  <c r="H33" i="1" s="1"/>
  <c r="H31" i="1" a="1"/>
  <c r="H31" i="1" s="1"/>
  <c r="H44" i="1" a="1"/>
  <c r="H44" i="1" s="1"/>
  <c r="H40" i="1" a="1"/>
  <c r="H40" i="1" s="1"/>
  <c r="H37" i="1" a="1"/>
  <c r="H37" i="1" s="1"/>
  <c r="H34" i="1" a="1"/>
  <c r="H34" i="1" s="1"/>
  <c r="H29" i="1" a="1"/>
  <c r="H29" i="1" s="1"/>
  <c r="H26" i="1" a="1"/>
  <c r="H26" i="1" s="1"/>
  <c r="H42" i="1" a="1"/>
  <c r="H42" i="1" s="1"/>
  <c r="H38" i="1" a="1"/>
  <c r="H38" i="1" s="1"/>
  <c r="H35" i="1" a="1"/>
  <c r="H35" i="1" s="1"/>
  <c r="H30" i="1" a="1"/>
  <c r="H30" i="1" s="1"/>
  <c r="H27" i="1" a="1"/>
  <c r="H27" i="1" s="1"/>
  <c r="H25" i="1" a="1"/>
  <c r="H25" i="1" s="1"/>
  <c r="H43" i="1" a="1"/>
  <c r="H43" i="1" s="1"/>
  <c r="H39" i="1" a="1"/>
  <c r="H39" i="1" s="1"/>
  <c r="H36" i="1" a="1"/>
  <c r="H36" i="1" s="1"/>
  <c r="H32" i="1" a="1"/>
  <c r="H32" i="1" s="1"/>
  <c r="H28" i="1" a="1"/>
  <c r="H28" i="1" s="1"/>
  <c r="H24" i="1" a="1"/>
  <c r="H24" i="1" s="1"/>
  <c r="K12" i="1"/>
  <c r="K13" i="1" s="1" a="1"/>
  <c r="K13" i="1" s="1"/>
  <c r="C29" i="1" a="1"/>
  <c r="C29" i="1" s="1"/>
  <c r="C28" i="1" a="1"/>
  <c r="C28" i="1" s="1"/>
  <c r="C27" i="1" a="1"/>
  <c r="C27" i="1" s="1"/>
  <c r="C26" i="1" a="1"/>
  <c r="C26" i="1" s="1"/>
  <c r="C25" i="1" a="1"/>
  <c r="C25" i="1" s="1"/>
  <c r="C24" i="1" a="1"/>
  <c r="C24" i="1" s="1"/>
  <c r="D44" i="1" a="1"/>
  <c r="D44" i="1" s="1"/>
  <c r="D43" i="1" a="1"/>
  <c r="D43" i="1" s="1"/>
  <c r="D42" i="1" a="1"/>
  <c r="D42" i="1" s="1"/>
  <c r="D41" i="1" a="1"/>
  <c r="D41" i="1" s="1"/>
  <c r="D40" i="1" a="1"/>
  <c r="D40" i="1" s="1"/>
  <c r="D39" i="1" a="1"/>
  <c r="D39" i="1" s="1"/>
  <c r="D38" i="1" a="1"/>
  <c r="D38" i="1" s="1"/>
  <c r="D37" i="1" a="1"/>
  <c r="D37" i="1" s="1"/>
  <c r="D36" i="1" a="1"/>
  <c r="D36" i="1" s="1"/>
  <c r="B44" i="1" a="1"/>
  <c r="B44" i="1" s="1"/>
  <c r="D35" i="1" a="1"/>
  <c r="D35" i="1" s="1"/>
  <c r="B43" i="1" a="1"/>
  <c r="B43" i="1" s="1"/>
  <c r="D34" i="1" a="1"/>
  <c r="D34" i="1" s="1"/>
  <c r="B38" i="1" a="1"/>
  <c r="B38" i="1" s="1"/>
  <c r="D33" i="1" a="1"/>
  <c r="D33" i="1" s="1"/>
  <c r="D32" i="1" a="1"/>
  <c r="D32" i="1" s="1"/>
  <c r="D31" i="1" a="1"/>
  <c r="D31" i="1" s="1"/>
  <c r="D30" i="1" a="1"/>
  <c r="D30" i="1" s="1"/>
  <c r="C34" i="1" a="1"/>
  <c r="C34" i="1" s="1"/>
  <c r="D29" i="1" a="1"/>
  <c r="D29" i="1" s="1"/>
  <c r="D28" i="1" a="1"/>
  <c r="D28" i="1" s="1"/>
  <c r="C44" i="1" a="1"/>
  <c r="C44" i="1" s="1"/>
  <c r="D27" i="1" a="1"/>
  <c r="D27" i="1" s="1"/>
  <c r="C35" i="1" a="1"/>
  <c r="C35" i="1" s="1"/>
  <c r="D26" i="1" a="1"/>
  <c r="D26" i="1" s="1"/>
  <c r="D25" i="1" a="1"/>
  <c r="D25" i="1" s="1"/>
  <c r="C32" i="1" a="1"/>
  <c r="C32" i="1" s="1"/>
  <c r="C31" i="1" a="1"/>
  <c r="C31" i="1" s="1"/>
  <c r="E43" i="1" a="1"/>
  <c r="E43" i="1" s="1"/>
  <c r="E41" i="1" a="1"/>
  <c r="E41" i="1" s="1"/>
  <c r="E37" i="1" a="1"/>
  <c r="E37" i="1" s="1"/>
  <c r="E39" i="1" a="1"/>
  <c r="E39" i="1" s="1"/>
  <c r="E44" i="1" a="1"/>
  <c r="E44" i="1" s="1"/>
  <c r="E35" i="1" a="1"/>
  <c r="E35" i="1" s="1"/>
  <c r="E42" i="1" a="1"/>
  <c r="E42" i="1" s="1"/>
  <c r="B37" i="1" a="1"/>
  <c r="B37" i="1" s="1"/>
  <c r="B36" i="1" a="1"/>
  <c r="B36" i="1" s="1"/>
  <c r="B34" i="1" a="1"/>
  <c r="B34" i="1" s="1"/>
  <c r="E34" i="1" a="1"/>
  <c r="E34" i="1" s="1"/>
  <c r="B42" i="1" a="1"/>
  <c r="B42" i="1" s="1"/>
  <c r="B41" i="1" a="1"/>
  <c r="B41" i="1" s="1"/>
  <c r="B40" i="1" a="1"/>
  <c r="B40" i="1" s="1"/>
  <c r="B39" i="1" a="1"/>
  <c r="B39" i="1" s="1"/>
  <c r="E40" i="1" a="1"/>
  <c r="E40" i="1" s="1"/>
  <c r="E38" i="1" a="1"/>
  <c r="E38" i="1" s="1"/>
  <c r="B35" i="1" a="1"/>
  <c r="B35" i="1" s="1"/>
  <c r="E36" i="1" a="1"/>
  <c r="E36" i="1" s="1"/>
  <c r="B33" i="1" a="1"/>
  <c r="B33" i="1" s="1"/>
  <c r="B32" i="1" a="1"/>
  <c r="B32" i="1" s="1"/>
  <c r="B31" i="1" a="1"/>
  <c r="B31" i="1" s="1"/>
  <c r="E33" i="1" a="1"/>
  <c r="E33" i="1" s="1"/>
  <c r="E32" i="1" a="1"/>
  <c r="E32" i="1" s="1"/>
  <c r="E31" i="1" a="1"/>
  <c r="E31" i="1" s="1"/>
  <c r="E28" i="1" a="1"/>
  <c r="E28" i="1" s="1"/>
  <c r="G37" i="1" a="1"/>
  <c r="G37" i="1" s="1"/>
  <c r="G44" i="1" a="1"/>
  <c r="G44" i="1" s="1"/>
  <c r="G42" i="1" a="1"/>
  <c r="G42" i="1" s="1"/>
  <c r="G40" i="1" a="1"/>
  <c r="G40" i="1" s="1"/>
  <c r="G38" i="1" a="1"/>
  <c r="G38" i="1" s="1"/>
  <c r="G36" i="1" a="1"/>
  <c r="G36" i="1" s="1"/>
  <c r="G43" i="1" a="1"/>
  <c r="G43" i="1" s="1"/>
  <c r="G41" i="1" a="1"/>
  <c r="G41" i="1" s="1"/>
  <c r="G39" i="1" a="1"/>
  <c r="G39" i="1" s="1"/>
  <c r="G35" i="1" a="1"/>
  <c r="G35" i="1" s="1"/>
  <c r="G34" i="1" a="1"/>
  <c r="G34" i="1" s="1"/>
  <c r="G33" i="1" a="1"/>
  <c r="G33" i="1" s="1"/>
  <c r="G31" i="1" a="1"/>
  <c r="G31" i="1" s="1"/>
  <c r="G29" i="1" a="1"/>
  <c r="G29" i="1" s="1"/>
  <c r="G25" i="1" a="1"/>
  <c r="G25" i="1" s="1"/>
  <c r="G32" i="1" a="1"/>
  <c r="G32" i="1" s="1"/>
  <c r="G30" i="1" a="1"/>
  <c r="G30" i="1" s="1"/>
  <c r="G28" i="1" a="1"/>
  <c r="G28" i="1" s="1"/>
  <c r="G27" i="1" a="1"/>
  <c r="G27" i="1" s="1"/>
  <c r="G26" i="1" a="1"/>
  <c r="G26" i="1" s="1"/>
  <c r="G24" i="1" a="1"/>
  <c r="G24" i="1" s="1"/>
  <c r="E27" i="1" a="1"/>
  <c r="E27" i="1" s="1"/>
  <c r="E26" i="1" a="1"/>
  <c r="E26" i="1" s="1"/>
  <c r="E30" i="1" a="1"/>
  <c r="E30" i="1" s="1"/>
  <c r="E24" i="1" a="1"/>
  <c r="E24" i="1" s="1"/>
  <c r="E29" i="1" a="1"/>
  <c r="E29" i="1" s="1"/>
  <c r="C43" i="1" a="1"/>
  <c r="C43" i="1" s="1"/>
  <c r="C42" i="1" a="1"/>
  <c r="C42" i="1" s="1"/>
  <c r="C38" i="1" a="1"/>
  <c r="C38" i="1" s="1"/>
  <c r="C41" i="1" a="1"/>
  <c r="C41" i="1" s="1"/>
  <c r="C37" i="1" a="1"/>
  <c r="C37" i="1" s="1"/>
  <c r="C40" i="1" a="1"/>
  <c r="C40" i="1" s="1"/>
  <c r="C39" i="1" a="1"/>
  <c r="C39" i="1" s="1"/>
  <c r="C36" i="1" a="1"/>
  <c r="C36" i="1" s="1"/>
  <c r="J12" i="1"/>
  <c r="J13" i="1" s="1" a="1"/>
  <c r="J13" i="1" s="1"/>
  <c r="B12" i="1"/>
  <c r="B13" i="1" s="1" a="1"/>
  <c r="B13" i="1" s="1"/>
  <c r="I12" i="1"/>
  <c r="I13" i="1" s="1" a="1"/>
  <c r="I13" i="1" s="1"/>
  <c r="D12" i="1"/>
  <c r="I10" i="1"/>
  <c r="E12" i="1"/>
  <c r="E10" i="1"/>
  <c r="D10" i="1"/>
  <c r="F12" i="1"/>
  <c r="F13" i="1" s="1" a="1"/>
  <c r="F13" i="1" s="1"/>
  <c r="H12" i="1"/>
  <c r="H13" i="1" s="1" a="1"/>
  <c r="H13" i="1" s="1"/>
  <c r="G12" i="1"/>
  <c r="G13" i="1" s="1" a="1"/>
  <c r="G13" i="1" s="1"/>
  <c r="C12" i="1"/>
  <c r="C13" i="1" s="1" a="1"/>
  <c r="C13" i="1" s="1"/>
  <c r="E13" i="1" l="1" a="1"/>
  <c r="E13" i="1" s="1"/>
  <c r="D13" i="1" a="1"/>
  <c r="D13" i="1" s="1"/>
  <c r="F35" i="1" a="1"/>
  <c r="F35" i="1" s="1"/>
  <c r="F25" i="1" a="1"/>
  <c r="F25" i="1" s="1"/>
  <c r="F36" i="1" a="1"/>
  <c r="F36" i="1" s="1"/>
  <c r="F24" i="1" a="1"/>
  <c r="F24" i="1" s="1"/>
  <c r="F37" i="1" a="1"/>
  <c r="F37" i="1" s="1"/>
  <c r="F38" i="1" a="1"/>
  <c r="F38" i="1" s="1"/>
  <c r="F39" i="1" a="1"/>
  <c r="F39" i="1" s="1"/>
  <c r="F40" i="1" a="1"/>
  <c r="F40" i="1" s="1"/>
  <c r="F41" i="1" a="1"/>
  <c r="F41" i="1" s="1"/>
  <c r="F42" i="1" a="1"/>
  <c r="F42" i="1" s="1"/>
  <c r="F43" i="1" a="1"/>
  <c r="F43" i="1" s="1"/>
  <c r="F44" i="1" a="1"/>
  <c r="F44" i="1" s="1"/>
  <c r="F30" i="1" a="1"/>
  <c r="F30" i="1" s="1"/>
  <c r="F31" i="1" a="1"/>
  <c r="F31" i="1" s="1"/>
  <c r="F33" i="1" a="1"/>
  <c r="F33" i="1" s="1"/>
  <c r="F29" i="1" a="1"/>
  <c r="F29" i="1" s="1"/>
  <c r="F28" i="1" a="1"/>
  <c r="F28" i="1" s="1"/>
  <c r="F26" i="1" a="1"/>
  <c r="F26" i="1" s="1"/>
  <c r="F27" i="1" a="1"/>
  <c r="F27" i="1" s="1"/>
  <c r="F32" i="1" a="1"/>
  <c r="F32" i="1" s="1"/>
  <c r="F34" i="1" a="1"/>
  <c r="F3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<sst xmlns="http://schemas.openxmlformats.org/spreadsheetml/2006/main" count="50" uniqueCount="46">
  <si>
    <t>Motor Gear A</t>
  </si>
  <si>
    <t>Reduction Gear B</t>
  </si>
  <si>
    <t>Co-shaft Gear C</t>
  </si>
  <si>
    <t>Filament Gear D</t>
  </si>
  <si>
    <t>Reduction</t>
  </si>
  <si>
    <t>Target Volumetric</t>
  </si>
  <si>
    <t>Linear filament speed</t>
  </si>
  <si>
    <t>Hob radius</t>
  </si>
  <si>
    <t>Drive gear circumreference</t>
  </si>
  <si>
    <t>RPM</t>
  </si>
  <si>
    <t>Force Multiplier</t>
  </si>
  <si>
    <t>Torque</t>
  </si>
  <si>
    <t>Efficiency</t>
  </si>
  <si>
    <t>Force at RPM</t>
  </si>
  <si>
    <t>VZHex Plus6</t>
  </si>
  <si>
    <t>Parameter</t>
  </si>
  <si>
    <t>Reduction gear weight</t>
  </si>
  <si>
    <t>Reduction gear shaft</t>
  </si>
  <si>
    <t>Secondary gear</t>
  </si>
  <si>
    <t>Secondary gear shaft</t>
  </si>
  <si>
    <t>Bearings</t>
  </si>
  <si>
    <t>HGX6</t>
  </si>
  <si>
    <t>Sherpa8</t>
  </si>
  <si>
    <t>VZHexPlus8</t>
  </si>
  <si>
    <t>Hybrid6</t>
  </si>
  <si>
    <t>Flow</t>
  </si>
  <si>
    <t>VZHexPlus6</t>
  </si>
  <si>
    <t>Sherpa10</t>
  </si>
  <si>
    <t>HGX7</t>
  </si>
  <si>
    <t>HGX8</t>
  </si>
  <si>
    <t>HGX10</t>
  </si>
  <si>
    <t>VZHex Plus8</t>
  </si>
  <si>
    <t>Gears Weight</t>
  </si>
  <si>
    <t>Tooth Count 1</t>
  </si>
  <si>
    <t>Tooth Count 2</t>
  </si>
  <si>
    <t>Distance</t>
  </si>
  <si>
    <t>K1 Extruder</t>
  </si>
  <si>
    <t>K1 6t</t>
  </si>
  <si>
    <t>https://github.com/Annex-Engineering/Annex-Engineering.github.io/blob/master/extruder_force.md</t>
  </si>
  <si>
    <t>The same methodology is used as in the Annex Engineering's Extruder Force Comparison</t>
  </si>
  <si>
    <t>RPM at target volumetric</t>
  </si>
  <si>
    <t>Gear teeth count</t>
  </si>
  <si>
    <t>Minus ~5% for each reduction</t>
  </si>
  <si>
    <t>Measure in CAD</t>
  </si>
  <si>
    <t>Values for the target in Q3</t>
  </si>
  <si>
    <t>LDO-36STH20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</si>
</sst>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"/>
  </numFmts>
  <fonts count="7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/>
      <bottom/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0" fontId="3" fillId="4" borderId="1" applyNumberFormat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3">
    <xf numFmtId="0" fontId="0" fillId="0" borderId="0" xfId="0"/>
    <xf numFmtId="0" fontId="6" fillId="0" borderId="0" xfId="5" applyAlignment="1">
      <alignment horizontal="center"/>
    </xf>
    <xf numFmtId="0" fontId="2" fillId="3" borderId="1" xfId="2"/>
    <xf numFmtId="9" fontId="2" fillId="3" borderId="1" xfId="2" applyNumberFormat="1"/>
    <xf numFmtId="169" fontId="3" fillId="4" borderId="1" xfId="3" applyNumberFormat="1"/>
    <xf numFmtId="2" fontId="3" fillId="4" borderId="1" xfId="3" applyNumberFormat="1"/>
    <xf numFmtId="1" fontId="3" fillId="4" borderId="1" xfId="3" applyNumberFormat="1"/>
    <xf numFmtId="0" fontId="4" fillId="0" borderId="2" xfId="4" applyBorder="1" applyAlignment="1">
      <alignment horizontal="center" vertical="center"/>
    </xf>
    <xf numFmtId="0" fontId="4" fillId="0" borderId="0" xfId="4" applyAlignment="1">
      <alignment horizontal="center" vertical="center"/>
    </xf>
    <xf numFmtId="0" fontId="4" fillId="0" borderId="0" xfId="4" applyBorder="1" applyAlignment="1">
      <alignment horizontal="center" vertical="center"/>
    </xf>
    <xf numFmtId="0" fontId="4" fillId="0" borderId="0" xfId="4" applyBorder="1" applyAlignment="1"/>
    <xf numFmtId="0" fontId="0" fillId="0" borderId="0" xfId="0" applyAlignment="1">
      <alignment horizontal="center" vertical="center"/>
    </xf>
    <xf numFmtId="0" fontId="1" fillId="2" borderId="0" xfId="1" applyAlignment="1">
      <alignment horizontal="center"/>
    </xf>
  </cellXfs>
  <cellStyles count="6">
    <cellStyle name="Calculation" xfId="3" builtinId="22"/>
    <cellStyle name="Explanatory Text" xfId="4" builtinId="53"/>
    <cellStyle name="Good" xfId="1" builtinId="26"/>
    <cellStyle name="Hyperlink" xfId="5" builtinId="8"/>
    <cellStyle name="Input" xfId="2" builtinId="20"/>
    <cellStyle name="Normal" xfId="0" builtinId="0"/>
  </cellStyles>
  <dxfs count="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Extruder Force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Calculations!$B$23</c:f>
              <c:strCache>
                <c:ptCount val="1"/>
                <c:pt idx="0">
                  <c:v>HGX6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Calculations!$A$24:$A$44</c:f>
              <c:numCache>
                <c:formatCode>General</c:formatCode>
                <c:ptCount val="21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  <c:pt idx="19">
                  <c:v>105</c:v>
                </c:pt>
                <c:pt idx="20">
                  <c:v>110</c:v>
                </c:pt>
              </c:numCache>
            </c:numRef>
          </c:cat>
          <c:val>
            <c:numRef>
              <c:f>Calculations!$B$24:$B$44</c:f>
              <c:numCache>
                <c:formatCode>General</c:formatCode>
                <c:ptCount val="21"/>
                <c:pt idx="0">
                  <c:v>152</c:v>
                </c:pt>
                <c:pt idx="1">
                  <c:v>152</c:v>
                </c:pt>
                <c:pt idx="2">
                  <c:v>154</c:v>
                </c:pt>
                <c:pt idx="3">
                  <c:v>158</c:v>
                </c:pt>
                <c:pt idx="4">
                  <c:v>161</c:v>
                </c:pt>
                <c:pt idx="5">
                  <c:v>165</c:v>
                </c:pt>
                <c:pt idx="6">
                  <c:v>166</c:v>
                </c:pt>
                <c:pt idx="7">
                  <c:v>170</c:v>
                </c:pt>
                <c:pt idx="8">
                  <c:v>173</c:v>
                </c:pt>
                <c:pt idx="9">
                  <c:v>175</c:v>
                </c:pt>
                <c:pt idx="10">
                  <c:v>176</c:v>
                </c:pt>
                <c:pt idx="11">
                  <c:v>178</c:v>
                </c:pt>
                <c:pt idx="12">
                  <c:v>180</c:v>
                </c:pt>
                <c:pt idx="13">
                  <c:v>181</c:v>
                </c:pt>
                <c:pt idx="14">
                  <c:v>182</c:v>
                </c:pt>
                <c:pt idx="15">
                  <c:v>180</c:v>
                </c:pt>
                <c:pt idx="16">
                  <c:v>180</c:v>
                </c:pt>
                <c:pt idx="17">
                  <c:v>178</c:v>
                </c:pt>
                <c:pt idx="18">
                  <c:v>176</c:v>
                </c:pt>
                <c:pt idx="19">
                  <c:v>173</c:v>
                </c:pt>
                <c:pt idx="20">
                  <c:v>170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F4-4667-B639-BB811CD0A244}"/>
            </c:ext>
          </c:extLst>
        </c:ser>
        <c:ser>
          <c:idx val="1"/>
          <c:order val="1"/>
          <c:tx>
            <c:strRef>
              <c:f>Calculations!$C$23</c:f>
              <c:strCache>
                <c:ptCount val="1"/>
                <c:pt idx="0">
                  <c:v>Sherpa8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Calculations!$A$24:$A$44</c:f>
              <c:numCache>
                <c:formatCode>General</c:formatCode>
                <c:ptCount val="21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  <c:pt idx="19">
                  <c:v>105</c:v>
                </c:pt>
                <c:pt idx="20">
                  <c:v>110</c:v>
                </c:pt>
              </c:numCache>
            </c:numRef>
          </c:cat>
          <c:val>
            <c:numRef>
              <c:f>Calculations!$C$24:$C$44</c:f>
              <c:numCache>
                <c:formatCode>General</c:formatCode>
                <c:ptCount val="21"/>
                <c:pt idx="0">
                  <c:v>152</c:v>
                </c:pt>
                <c:pt idx="1">
                  <c:v>152</c:v>
                </c:pt>
                <c:pt idx="2">
                  <c:v>154</c:v>
                </c:pt>
                <c:pt idx="3">
                  <c:v>158</c:v>
                </c:pt>
                <c:pt idx="4">
                  <c:v>160</c:v>
                </c:pt>
                <c:pt idx="5">
                  <c:v>163</c:v>
                </c:pt>
                <c:pt idx="6">
                  <c:v>167</c:v>
                </c:pt>
                <c:pt idx="7">
                  <c:v>168</c:v>
                </c:pt>
                <c:pt idx="8">
                  <c:v>172</c:v>
                </c:pt>
                <c:pt idx="9">
                  <c:v>175</c:v>
                </c:pt>
                <c:pt idx="10">
                  <c:v>177</c:v>
                </c:pt>
                <c:pt idx="11">
                  <c:v>178</c:v>
                </c:pt>
                <c:pt idx="12">
                  <c:v>179</c:v>
                </c:pt>
                <c:pt idx="13">
                  <c:v>180</c:v>
                </c:pt>
                <c:pt idx="14">
                  <c:v>182</c:v>
                </c:pt>
                <c:pt idx="15">
                  <c:v>182</c:v>
                </c:pt>
                <c:pt idx="16">
                  <c:v>181</c:v>
                </c:pt>
                <c:pt idx="17">
                  <c:v>180</c:v>
                </c:pt>
                <c:pt idx="18">
                  <c:v>178</c:v>
                </c:pt>
                <c:pt idx="19">
                  <c:v>177</c:v>
                </c:pt>
                <c:pt idx="20">
                  <c:v>174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F4-4667-B639-BB811CD0A244}"/>
            </c:ext>
          </c:extLst>
        </c:ser>
        <c:ser>
          <c:idx val="2"/>
          <c:order val="2"/>
          <c:tx>
            <c:strRef>
              <c:f>Calculations!$D$23</c:f>
              <c:strCache>
                <c:ptCount val="1"/>
                <c:pt idx="0">
                  <c:v>Sherpa10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Calculations!$A$24:$A$44</c:f>
              <c:numCache>
                <c:formatCode>General</c:formatCode>
                <c:ptCount val="21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  <c:pt idx="19">
                  <c:v>105</c:v>
                </c:pt>
                <c:pt idx="20">
                  <c:v>110</c:v>
                </c:pt>
              </c:numCache>
            </c:numRef>
          </c:cat>
          <c:val>
            <c:numRef>
              <c:f>Calculations!$D$24:$D$44</c:f>
              <c:numCache>
                <c:formatCode>General</c:formatCode>
                <c:ptCount val="21"/>
                <c:pt idx="0">
                  <c:v>122</c:v>
                </c:pt>
                <c:pt idx="1">
                  <c:v>122</c:v>
                </c:pt>
                <c:pt idx="2">
                  <c:v>122</c:v>
                </c:pt>
                <c:pt idx="3">
                  <c:v>124</c:v>
                </c:pt>
                <c:pt idx="4">
                  <c:v>125</c:v>
                </c:pt>
                <c:pt idx="5">
                  <c:v>128</c:v>
                </c:pt>
                <c:pt idx="6">
                  <c:v>129</c:v>
                </c:pt>
                <c:pt idx="7">
                  <c:v>131</c:v>
                </c:pt>
                <c:pt idx="8">
                  <c:v>133</c:v>
                </c:pt>
                <c:pt idx="9">
                  <c:v>135</c:v>
                </c:pt>
                <c:pt idx="10">
                  <c:v>136</c:v>
                </c:pt>
                <c:pt idx="11">
                  <c:v>139</c:v>
                </c:pt>
                <c:pt idx="12">
                  <c:v>140</c:v>
                </c:pt>
                <c:pt idx="13">
                  <c:v>141</c:v>
                </c:pt>
                <c:pt idx="14">
                  <c:v>142</c:v>
                </c:pt>
                <c:pt idx="15">
                  <c:v>143</c:v>
                </c:pt>
                <c:pt idx="16">
                  <c:v>144</c:v>
                </c:pt>
                <c:pt idx="17">
                  <c:v>144</c:v>
                </c:pt>
                <c:pt idx="18">
                  <c:v>146</c:v>
                </c:pt>
                <c:pt idx="19">
                  <c:v>146</c:v>
                </c:pt>
                <c:pt idx="20">
                  <c:v>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FF4-4667-B639-BB811CD0A244}"/>
            </c:ext>
          </c:extLst>
        </c:ser>
        <c:ser>
          <c:idx val="3"/>
          <c:order val="3"/>
          <c:tx>
            <c:strRef>
              <c:f>Calculations!$E$23</c:f>
              <c:strCache>
                <c:ptCount val="1"/>
                <c:pt idx="0">
                  <c:v>VZHexPlus8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Calculations!$A$24:$A$44</c:f>
              <c:numCache>
                <c:formatCode>General</c:formatCode>
                <c:ptCount val="21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  <c:pt idx="19">
                  <c:v>105</c:v>
                </c:pt>
                <c:pt idx="20">
                  <c:v>110</c:v>
                </c:pt>
              </c:numCache>
            </c:numRef>
          </c:cat>
          <c:val>
            <c:numRef>
              <c:f>Calculations!$E$24:$E$44</c:f>
              <c:numCache>
                <c:formatCode>General</c:formatCode>
                <c:ptCount val="21"/>
                <c:pt idx="0">
                  <c:v>115</c:v>
                </c:pt>
                <c:pt idx="1">
                  <c:v>115</c:v>
                </c:pt>
                <c:pt idx="2">
                  <c:v>115</c:v>
                </c:pt>
                <c:pt idx="3">
                  <c:v>116</c:v>
                </c:pt>
                <c:pt idx="4">
                  <c:v>117</c:v>
                </c:pt>
                <c:pt idx="5">
                  <c:v>119</c:v>
                </c:pt>
                <c:pt idx="6">
                  <c:v>121</c:v>
                </c:pt>
                <c:pt idx="7">
                  <c:v>123</c:v>
                </c:pt>
                <c:pt idx="8">
                  <c:v>124</c:v>
                </c:pt>
                <c:pt idx="9">
                  <c:v>126</c:v>
                </c:pt>
                <c:pt idx="10">
                  <c:v>127</c:v>
                </c:pt>
                <c:pt idx="11">
                  <c:v>129</c:v>
                </c:pt>
                <c:pt idx="12">
                  <c:v>130</c:v>
                </c:pt>
                <c:pt idx="13">
                  <c:v>132</c:v>
                </c:pt>
                <c:pt idx="14">
                  <c:v>133</c:v>
                </c:pt>
                <c:pt idx="15">
                  <c:v>134</c:v>
                </c:pt>
                <c:pt idx="16">
                  <c:v>134</c:v>
                </c:pt>
                <c:pt idx="17">
                  <c:v>135</c:v>
                </c:pt>
                <c:pt idx="18">
                  <c:v>135</c:v>
                </c:pt>
                <c:pt idx="19">
                  <c:v>137</c:v>
                </c:pt>
                <c:pt idx="20">
                  <c:v>137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FF4-4667-B639-BB811CD0A244}"/>
            </c:ext>
          </c:extLst>
        </c:ser>
        <c:ser>
          <c:idx val="4"/>
          <c:order val="4"/>
          <c:tx>
            <c:strRef>
              <c:f>Calculations!$F$23</c:f>
              <c:strCache>
                <c:ptCount val="1"/>
                <c:pt idx="0">
                  <c:v>VZHexPlus6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Calculations!$A$24:$A$44</c:f>
              <c:numCache>
                <c:formatCode>General</c:formatCode>
                <c:ptCount val="21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  <c:pt idx="19">
                  <c:v>105</c:v>
                </c:pt>
                <c:pt idx="20">
                  <c:v>110</c:v>
                </c:pt>
              </c:numCache>
            </c:numRef>
          </c:cat>
          <c:val>
            <c:numRef>
              <c:f>Calculations!$F$24:$F$44</c:f>
              <c:numCache>
                <c:formatCode>General</c:formatCode>
                <c:ptCount val="21"/>
                <c:pt idx="0">
                  <c:v>153</c:v>
                </c:pt>
                <c:pt idx="1">
                  <c:v>153</c:v>
                </c:pt>
                <c:pt idx="2">
                  <c:v>155</c:v>
                </c:pt>
                <c:pt idx="3">
                  <c:v>158</c:v>
                </c:pt>
                <c:pt idx="4">
                  <c:v>161</c:v>
                </c:pt>
                <c:pt idx="5">
                  <c:v>165</c:v>
                </c:pt>
                <c:pt idx="6">
                  <c:v>167</c:v>
                </c:pt>
                <c:pt idx="7">
                  <c:v>169</c:v>
                </c:pt>
                <c:pt idx="8">
                  <c:v>173</c:v>
                </c:pt>
                <c:pt idx="9">
                  <c:v>175</c:v>
                </c:pt>
                <c:pt idx="10">
                  <c:v>177</c:v>
                </c:pt>
                <c:pt idx="11">
                  <c:v>178</c:v>
                </c:pt>
                <c:pt idx="12">
                  <c:v>180</c:v>
                </c:pt>
                <c:pt idx="13">
                  <c:v>180</c:v>
                </c:pt>
                <c:pt idx="14">
                  <c:v>183</c:v>
                </c:pt>
                <c:pt idx="15">
                  <c:v>183</c:v>
                </c:pt>
                <c:pt idx="16">
                  <c:v>182</c:v>
                </c:pt>
                <c:pt idx="17">
                  <c:v>181</c:v>
                </c:pt>
                <c:pt idx="18">
                  <c:v>179</c:v>
                </c:pt>
                <c:pt idx="19">
                  <c:v>176</c:v>
                </c:pt>
                <c:pt idx="20">
                  <c:v>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FF4-4667-B639-BB811CD0A244}"/>
            </c:ext>
          </c:extLst>
        </c:ser>
        <c:ser>
          <c:idx val="5"/>
          <c:order val="5"/>
          <c:tx>
            <c:strRef>
              <c:f>Calculations!$G$23</c:f>
              <c:strCache>
                <c:ptCount val="1"/>
                <c:pt idx="0">
                  <c:v>Hybrid6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Calculations!$A$24:$A$44</c:f>
              <c:numCache>
                <c:formatCode>General</c:formatCode>
                <c:ptCount val="21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  <c:pt idx="19">
                  <c:v>105</c:v>
                </c:pt>
                <c:pt idx="20">
                  <c:v>110</c:v>
                </c:pt>
              </c:numCache>
            </c:numRef>
          </c:cat>
          <c:val>
            <c:numRef>
              <c:f>Calculations!$G$24:$G$44</c:f>
              <c:numCache>
                <c:formatCode>General</c:formatCode>
                <c:ptCount val="21"/>
                <c:pt idx="0">
                  <c:v>160</c:v>
                </c:pt>
                <c:pt idx="1">
                  <c:v>161</c:v>
                </c:pt>
                <c:pt idx="2">
                  <c:v>164</c:v>
                </c:pt>
                <c:pt idx="3">
                  <c:v>168</c:v>
                </c:pt>
                <c:pt idx="4">
                  <c:v>171</c:v>
                </c:pt>
                <c:pt idx="5">
                  <c:v>175</c:v>
                </c:pt>
                <c:pt idx="6">
                  <c:v>177</c:v>
                </c:pt>
                <c:pt idx="7">
                  <c:v>181</c:v>
                </c:pt>
                <c:pt idx="8">
                  <c:v>184</c:v>
                </c:pt>
                <c:pt idx="9">
                  <c:v>186</c:v>
                </c:pt>
                <c:pt idx="10">
                  <c:v>187</c:v>
                </c:pt>
                <c:pt idx="11">
                  <c:v>189</c:v>
                </c:pt>
                <c:pt idx="12">
                  <c:v>190</c:v>
                </c:pt>
                <c:pt idx="13">
                  <c:v>192</c:v>
                </c:pt>
                <c:pt idx="14">
                  <c:v>191</c:v>
                </c:pt>
                <c:pt idx="15">
                  <c:v>190</c:v>
                </c:pt>
                <c:pt idx="16">
                  <c:v>188</c:v>
                </c:pt>
                <c:pt idx="17">
                  <c:v>185</c:v>
                </c:pt>
                <c:pt idx="18">
                  <c:v>183</c:v>
                </c:pt>
                <c:pt idx="19">
                  <c:v>179</c:v>
                </c:pt>
                <c:pt idx="20">
                  <c:v>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FF4-4667-B639-BB811CD0A244}"/>
            </c:ext>
          </c:extLst>
        </c:ser>
        <c:ser>
          <c:idx val="6"/>
          <c:order val="6"/>
          <c:tx>
            <c:strRef>
              <c:f>Calculations!$H$23</c:f>
              <c:strCache>
                <c:ptCount val="1"/>
                <c:pt idx="0">
                  <c:v>K1 6t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Calculations!$A$24:$A$44</c:f>
              <c:numCache>
                <c:formatCode>General</c:formatCode>
                <c:ptCount val="21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  <c:pt idx="19">
                  <c:v>105</c:v>
                </c:pt>
                <c:pt idx="20">
                  <c:v>110</c:v>
                </c:pt>
              </c:numCache>
            </c:numRef>
          </c:cat>
          <c:val>
            <c:numRef>
              <c:f>Calculations!$H$24:$H$44</c:f>
              <c:numCache>
                <c:formatCode>General</c:formatCode>
                <c:ptCount val="21"/>
                <c:pt idx="0">
                  <c:v>77</c:v>
                </c:pt>
                <c:pt idx="1">
                  <c:v>77</c:v>
                </c:pt>
                <c:pt idx="2">
                  <c:v>77</c:v>
                </c:pt>
                <c:pt idx="3">
                  <c:v>77</c:v>
                </c:pt>
                <c:pt idx="4">
                  <c:v>78</c:v>
                </c:pt>
                <c:pt idx="5">
                  <c:v>78</c:v>
                </c:pt>
                <c:pt idx="6">
                  <c:v>79</c:v>
                </c:pt>
                <c:pt idx="7">
                  <c:v>80</c:v>
                </c:pt>
                <c:pt idx="8">
                  <c:v>81</c:v>
                </c:pt>
                <c:pt idx="9">
                  <c:v>82</c:v>
                </c:pt>
                <c:pt idx="10">
                  <c:v>83</c:v>
                </c:pt>
                <c:pt idx="11">
                  <c:v>83</c:v>
                </c:pt>
                <c:pt idx="12">
                  <c:v>84</c:v>
                </c:pt>
                <c:pt idx="13">
                  <c:v>85</c:v>
                </c:pt>
                <c:pt idx="14">
                  <c:v>85</c:v>
                </c:pt>
                <c:pt idx="15">
                  <c:v>86</c:v>
                </c:pt>
                <c:pt idx="16">
                  <c:v>87</c:v>
                </c:pt>
                <c:pt idx="17">
                  <c:v>88</c:v>
                </c:pt>
                <c:pt idx="18">
                  <c:v>88</c:v>
                </c:pt>
                <c:pt idx="19">
                  <c:v>89</c:v>
                </c:pt>
                <c:pt idx="20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FF4-4667-B639-BB811CD0A2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6463967"/>
        <c:axId val="1396464447"/>
      </c:lineChart>
      <c:catAx>
        <c:axId val="1396463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464447"/>
        <c:crosses val="autoZero"/>
        <c:auto val="1"/>
        <c:lblAlgn val="ctr"/>
        <c:lblOffset val="100"/>
        <c:noMultiLvlLbl val="0"/>
      </c:catAx>
      <c:valAx>
        <c:axId val="1396464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463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1004887</xdr:colOff>
      <xdr:row>21</xdr:row>
      <xdr:rowOff>52386</xdr:rowOff>
    </xdr:from>
    <xdr:to>
      <xdr:col>19</xdr:col>
      <xdr:colOff>552450</xdr:colOff>
      <xdr:row>47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D7EC5B-4631-9939-C7AB-4AD7610DDF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0</xdr:rowOff>
    </xdr:from>
    <xdr:to>
      <xdr:col>13</xdr:col>
      <xdr:colOff>114300</xdr:colOff>
      <xdr:row>25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FDE641-4CD0-DF82-5926-464A2D96E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7625" y="180975"/>
          <a:ext cx="5600700" cy="424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6CA0C9-4B8F-4403-A5E8-962DC7878683}" name="Table2" displayName="Table2" ref="A2:K19" totalsRowShown="0">
  <autoFilter ref="A2:K19" xr:uid="{866CA0C9-4B8F-4403-A5E8-962DC7878683}"/>
  <tableColumns count="11">
    <tableColumn id="1" xr3:uid="{A13ABF77-4C82-4E71-963F-56DFCE602A02}" name="Parameter"/>
    <tableColumn id="2" xr3:uid="{AEA3C2BE-8CAE-47D8-BE62-751090686743}" name="HGX6"/>
    <tableColumn id="3" xr3:uid="{694B0CC8-CCD9-4A2E-B4E3-7EC3A178FD63}" name="HGX7"/>
    <tableColumn id="4" xr3:uid="{9F210BF2-9364-48A5-ACDC-54A22BF84FB9}" name="HGX8"/>
    <tableColumn id="5" xr3:uid="{D7546D59-93E9-4800-A44D-E24CFA6B2D7D}" name="HGX10"/>
    <tableColumn id="6" xr3:uid="{41B401FE-C24D-42E9-BBDF-2CCBCC7CF815}" name="Sherpa8"/>
    <tableColumn id="7" xr3:uid="{9D3C662D-2FB7-4A17-9C44-E128D9EE6670}" name="Sherpa10"/>
    <tableColumn id="8" xr3:uid="{86389958-664A-4D95-B9ED-98EFE91BE357}" name="VZHex Plus8"/>
    <tableColumn id="9" xr3:uid="{488D668D-5F20-4CCB-8FF6-C8E4EEEFD870}" name="VZHex Plus6"/>
    <tableColumn id="10" xr3:uid="{A5171AC6-52E5-4970-8CAD-F4DBE8BA0D67}" name="Hybrid6"/>
    <tableColumn id="11" xr3:uid="{51DD746F-3797-4D70-B1CA-4D87E61E8986}" name="K1 Extrud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A3607C3-1450-4D63-8E31-631A06C0521A}" name="Table3" displayName="Table3" ref="A23:H44" totalsRowShown="0">
  <autoFilter ref="A23:H44" xr:uid="{1A3607C3-1450-4D63-8E31-631A06C0521A}"/>
  <tableColumns count="8">
    <tableColumn id="1" xr3:uid="{F649D0C3-EEEE-46EC-B0AC-EA49FD28D44C}" name="Flow"/>
    <tableColumn id="2" xr3:uid="{340F93C8-F865-4171-A5AA-3E21B2D06A08}" name="HGX6" dataDxfId="8">
      <calculatedColumnFormula array="1">ROUND(INDEX(Table1[Torque],MATCH(MIN(ABS(Table1[RPM]-Table3[[#This Row],[Flow]]/2.405*60*$B$7/$B$11)),ABS(Table1[RPM]-Table3[[#This Row],[Flow]]/2.405*60*$B$7/$B$11),0))*$B$10,0)</calculatedColumnFormula>
    </tableColumn>
    <tableColumn id="3" xr3:uid="{00B9819F-44FA-4AD6-8A83-A3B30E0CF733}" name="Sherpa8" dataDxfId="7">
      <calculatedColumnFormula array="1">ROUND(INDEX(Table1[Torque],MATCH(MIN(ABS(Table1[RPM]-Table3[[#This Row],[Flow]]/2.405*60*$F$7/$F$11)),ABS(Table1[RPM]-Table3[[#This Row],[Flow]]/2.405*60*$F$7/$F$11),0))*$F$10,0)</calculatedColumnFormula>
    </tableColumn>
    <tableColumn id="7" xr3:uid="{91C76070-4977-4EA5-B666-8872A3E96D4B}" name="Sherpa10" dataDxfId="3">
      <calculatedColumnFormula array="1">ROUND(INDEX(Table1[Torque],MATCH(MIN(ABS(Table1[RPM]-Table3[[#This Row],[Flow]]/2.405*60*$G$7/$G$11)),ABS(Table1[RPM]-Table3[[#This Row],[Flow]]/2.405*60*$G$7/$G$11),0))*$G$10,0)</calculatedColumnFormula>
    </tableColumn>
    <tableColumn id="4" xr3:uid="{D40F5596-D6BD-4DAE-8605-2840689EBB10}" name="VZHexPlus8" dataDxfId="6">
      <calculatedColumnFormula array="1">ROUND(INDEX(Table1[Torque],MATCH(MIN(ABS(Table1[RPM]-Table3[[#This Row],[Flow]]/2.405*60*$H$7/$H$11)),ABS(Table1[RPM]-Table3[[#This Row],[Flow]]/2.405*60*$H$7/$H$11),0))*$H$10,0)</calculatedColumnFormula>
    </tableColumn>
    <tableColumn id="6" xr3:uid="{0BD1B6B9-92EA-45F0-BA27-E9699666AF82}" name="VZHexPlus6" dataDxfId="5">
      <calculatedColumnFormula array="1">ROUND(INDEX(Table1[Torque],MATCH(MIN(ABS(Table1[RPM]-Table3[[#This Row],[Flow]]/2.405*60*$I$7/$I$11)),ABS(Table1[RPM]-Table3[[#This Row],[Flow]]/2.405*60*$I$7/$I$11),0))*$I$10,0)</calculatedColumnFormula>
    </tableColumn>
    <tableColumn id="5" xr3:uid="{BCAF5278-7AA2-4F7C-8CF8-62EB76F6A8FA}" name="Hybrid6" dataDxfId="4">
      <calculatedColumnFormula array="1">ROUND(INDEX(Table1[Torque],MATCH(MIN(ABS(Table1[RPM]-Table3[[#This Row],[Flow]]/2.405*60*$J$7/$J$11)),ABS(Table1[RPM]-Table3[[#This Row],[Flow]]/2.405*60*$J$7/$J$11),0))*$J$10,0)</calculatedColumnFormula>
    </tableColumn>
    <tableColumn id="8" xr3:uid="{936A5B77-4E96-4CBB-A7DF-F195CE67BD39}" name="K1 6t" dataDxfId="2">
      <calculatedColumnFormula array="1">ROUND(INDEX(Table1[Torque],MATCH(MIN(ABS(Table1[RPM]-Table3[[#This Row],[Flow]]/2.405*60*$K$7/$K$11)),ABS(Table1[RPM]-Table3[[#This Row],[Flow]]/2.405*60*$K$7/$K$11),0))*$K$10,0)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DF2CA8-D5AB-48A4-9F7B-AFF15745AAC1}" name="Table1" displayName="Table1" ref="A2:B183" totalsRowShown="0">
  <autoFilter ref="A2:B183" xr:uid="{F6DF2CA8-D5AB-48A4-9F7B-AFF15745AAC1}"/>
  <tableColumns count="2">
    <tableColumn id="1" xr3:uid="{1B2F8FA7-B04E-4E6D-A232-29EC4DF3F645}" name="RPM"/>
    <tableColumn id="2" xr3:uid="{5CDF42AF-2C87-4C62-BBEC-2688C2D4D16F}" name="Torq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hyperlink" Target="https://github.com/Annex-Engineering/Annex-Engineering.github.io/blob/master/extruder_force.md" TargetMode="Externa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D524A-FD05-4CAE-B693-C54C0685986F}">
  <sheetPr codeName="Sheet1"/>
  <dimension ref="A1:Q44"/>
  <sheetViews>
    <sheetView tabSelected="1" workbookViewId="0">
      <selection activeCell="I21" sqref="I21"/>
    </sheetView>
  </sheetViews>
  <sheetFormatPr defaultRowHeight="14.25"/>
  <cols>
    <col min="1" max="1" width="23.5" bestFit="1" customWidth="1"/>
    <col min="2" max="2" width="7.875" customWidth="1"/>
    <col min="3" max="3" width="10.125" customWidth="1"/>
    <col min="4" max="4" width="13.25" customWidth="1"/>
    <col min="5" max="5" width="9.5" customWidth="1"/>
    <col min="6" max="6" width="9.25" bestFit="1" customWidth="1"/>
    <col min="7" max="7" width="10.25" bestFit="1" customWidth="1"/>
    <col min="8" max="8" width="12.875" bestFit="1" customWidth="1"/>
    <col min="9" max="9" width="13.875" bestFit="1" customWidth="1"/>
    <col min="16" max="16" width="22.5" bestFit="1" customWidth="1"/>
  </cols>
  <sheetData>
    <row r="1" spans="1:17">
      <c r="A1" s="1" t="s">
        <v>39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7">
      <c r="A2" t="s">
        <v>15</v>
      </c>
      <c r="B2" t="s">
        <v>21</v>
      </c>
      <c r="C2" t="s">
        <v>28</v>
      </c>
      <c r="D2" t="s">
        <v>29</v>
      </c>
      <c r="E2" t="s">
        <v>30</v>
      </c>
      <c r="F2" t="s">
        <v>22</v>
      </c>
      <c r="G2" t="s">
        <v>27</v>
      </c>
      <c r="H2" t="s">
        <v>31</v>
      </c>
      <c r="I2" t="s">
        <v>14</v>
      </c>
      <c r="J2" t="s">
        <v>24</v>
      </c>
      <c r="K2" t="s">
        <v>36</v>
      </c>
    </row>
    <row r="3" spans="1:17">
      <c r="A3" t="s">
        <v>0</v>
      </c>
      <c r="B3" s="2">
        <v>6</v>
      </c>
      <c r="C3" s="2">
        <v>7</v>
      </c>
      <c r="D3" s="2">
        <v>8</v>
      </c>
      <c r="E3" s="2">
        <v>10</v>
      </c>
      <c r="F3" s="2">
        <v>8</v>
      </c>
      <c r="G3" s="2">
        <v>10</v>
      </c>
      <c r="H3" s="2">
        <v>8</v>
      </c>
      <c r="I3" s="2">
        <v>6</v>
      </c>
      <c r="J3" s="2">
        <v>6</v>
      </c>
      <c r="K3" s="2">
        <v>12</v>
      </c>
      <c r="L3" s="7" t="s">
        <v>41</v>
      </c>
      <c r="M3" s="9"/>
      <c r="N3" s="9"/>
      <c r="P3" t="s">
        <v>5</v>
      </c>
      <c r="Q3">
        <v>75</v>
      </c>
    </row>
    <row r="4" spans="1:17">
      <c r="A4" t="s">
        <v>1</v>
      </c>
      <c r="B4" s="2">
        <v>44</v>
      </c>
      <c r="C4" s="2">
        <v>44</v>
      </c>
      <c r="D4" s="2">
        <v>44</v>
      </c>
      <c r="E4" s="2">
        <v>44</v>
      </c>
      <c r="F4" s="2">
        <v>50</v>
      </c>
      <c r="G4" s="2">
        <v>50</v>
      </c>
      <c r="H4" s="2">
        <v>60</v>
      </c>
      <c r="I4" s="2">
        <v>60</v>
      </c>
      <c r="J4" s="2">
        <v>44</v>
      </c>
      <c r="K4" s="2">
        <v>30</v>
      </c>
      <c r="L4" s="7"/>
      <c r="M4" s="9"/>
      <c r="N4" s="9"/>
      <c r="P4" t="s">
        <v>6</v>
      </c>
      <c r="Q4">
        <f>ROUND(Q3/2.405,3)</f>
        <v>31.184999999999999</v>
      </c>
    </row>
    <row r="5" spans="1:17">
      <c r="A5" t="s">
        <v>2</v>
      </c>
      <c r="B5" s="2">
        <v>17</v>
      </c>
      <c r="C5" s="2">
        <v>17</v>
      </c>
      <c r="D5" s="2">
        <v>17</v>
      </c>
      <c r="E5" s="2">
        <v>17</v>
      </c>
      <c r="F5" s="2">
        <v>1</v>
      </c>
      <c r="G5" s="2">
        <v>1</v>
      </c>
      <c r="H5" s="2">
        <v>1</v>
      </c>
      <c r="I5" s="2">
        <v>1</v>
      </c>
      <c r="J5" s="2">
        <v>17</v>
      </c>
      <c r="K5" s="2">
        <v>12</v>
      </c>
      <c r="L5" s="7"/>
      <c r="M5" s="9"/>
      <c r="N5" s="9"/>
    </row>
    <row r="6" spans="1:17">
      <c r="A6" t="s">
        <v>3</v>
      </c>
      <c r="B6" s="2">
        <v>36</v>
      </c>
      <c r="C6" s="2">
        <v>36</v>
      </c>
      <c r="D6" s="2">
        <v>36</v>
      </c>
      <c r="E6" s="2">
        <v>36</v>
      </c>
      <c r="F6" s="2">
        <v>1</v>
      </c>
      <c r="G6" s="2">
        <v>1</v>
      </c>
      <c r="H6" s="2">
        <v>1</v>
      </c>
      <c r="I6" s="2">
        <v>1</v>
      </c>
      <c r="J6" s="2">
        <v>30</v>
      </c>
      <c r="K6" s="2">
        <v>30</v>
      </c>
      <c r="L6" s="7"/>
      <c r="M6" s="9"/>
      <c r="N6" s="9"/>
    </row>
    <row r="7" spans="1:17" ht="15">
      <c r="A7" t="s">
        <v>4</v>
      </c>
      <c r="B7" s="4">
        <f>B4/B3*(B6/B5)</f>
        <v>15.529411764705882</v>
      </c>
      <c r="C7" s="4">
        <f>C4/C3*(C6/C5)</f>
        <v>13.3109243697479</v>
      </c>
      <c r="D7" s="4">
        <f>D4/D3*(D6/D5)</f>
        <v>11.647058823529411</v>
      </c>
      <c r="E7" s="4">
        <f>E4/E3*(E6/E5)</f>
        <v>9.3176470588235301</v>
      </c>
      <c r="F7" s="4">
        <f>F4/F3*(F6/F5)</f>
        <v>6.25</v>
      </c>
      <c r="G7" s="4">
        <f>G4/G3*(G6/G5)</f>
        <v>5</v>
      </c>
      <c r="H7" s="4">
        <f>H4/H3*(H6/H5)</f>
        <v>7.5</v>
      </c>
      <c r="I7" s="4">
        <f>I4/I3*(I6/I5)</f>
        <v>10</v>
      </c>
      <c r="J7" s="4">
        <f>J4/J3*(J6/J5)</f>
        <v>12.941176470588234</v>
      </c>
      <c r="K7" s="4">
        <f>K4/K3*(K6/K5)</f>
        <v>6.25</v>
      </c>
      <c r="L7" s="11"/>
      <c r="M7" s="11"/>
      <c r="N7" s="11"/>
    </row>
    <row r="8" spans="1:17">
      <c r="A8" t="s">
        <v>7</v>
      </c>
      <c r="B8" s="2">
        <f>17.5/2</f>
        <v>8.75</v>
      </c>
      <c r="C8" s="2">
        <f>17.5/2</f>
        <v>8.75</v>
      </c>
      <c r="D8" s="2">
        <f>17.5/2</f>
        <v>8.75</v>
      </c>
      <c r="E8" s="2">
        <f>17.5/2</f>
        <v>8.75</v>
      </c>
      <c r="F8" s="2">
        <v>3.7</v>
      </c>
      <c r="G8" s="2">
        <v>3.7</v>
      </c>
      <c r="H8" s="2">
        <v>5.9</v>
      </c>
      <c r="I8" s="2">
        <v>5.9</v>
      </c>
      <c r="J8" s="2">
        <f>13.8/2</f>
        <v>6.9</v>
      </c>
      <c r="K8" s="2">
        <f>13.8/2</f>
        <v>6.9</v>
      </c>
      <c r="L8" s="7" t="s">
        <v>43</v>
      </c>
      <c r="M8" s="8"/>
      <c r="N8" s="8"/>
    </row>
    <row r="9" spans="1:17">
      <c r="A9" t="s">
        <v>12</v>
      </c>
      <c r="B9" s="3">
        <v>0.9</v>
      </c>
      <c r="C9" s="3">
        <v>0.9</v>
      </c>
      <c r="D9" s="3">
        <v>0.9</v>
      </c>
      <c r="E9" s="3">
        <v>0.9</v>
      </c>
      <c r="F9" s="3">
        <v>0.95</v>
      </c>
      <c r="G9" s="3">
        <v>0.95</v>
      </c>
      <c r="H9" s="3">
        <v>0.95</v>
      </c>
      <c r="I9" s="3">
        <v>0.95</v>
      </c>
      <c r="J9" s="3">
        <v>0.9</v>
      </c>
      <c r="K9" s="3">
        <v>0.9</v>
      </c>
      <c r="L9" s="7" t="s">
        <v>42</v>
      </c>
      <c r="M9" s="9"/>
      <c r="N9" s="9"/>
      <c r="O9" s="10"/>
    </row>
    <row r="10" spans="1:17" ht="15">
      <c r="A10" t="s">
        <v>10</v>
      </c>
      <c r="B10" s="5">
        <f>B7/B8*B9</f>
        <v>1.5973109243697479</v>
      </c>
      <c r="C10" s="5">
        <f>C7/C8*C9</f>
        <v>1.369123649459784</v>
      </c>
      <c r="D10" s="5">
        <f>D7/D8*D9</f>
        <v>1.1979831932773108</v>
      </c>
      <c r="E10" s="5">
        <f>E7/E8*E9</f>
        <v>0.95838655462184885</v>
      </c>
      <c r="F10" s="5">
        <f t="shared" ref="F10:I10" si="0">F7/F8*F9</f>
        <v>1.6047297297297296</v>
      </c>
      <c r="G10" s="5">
        <f t="shared" si="0"/>
        <v>1.2837837837837838</v>
      </c>
      <c r="H10" s="5">
        <f t="shared" si="0"/>
        <v>1.2076271186440677</v>
      </c>
      <c r="I10" s="5">
        <f t="shared" si="0"/>
        <v>1.6101694915254237</v>
      </c>
      <c r="J10" s="5">
        <f>J7/J8*J9</f>
        <v>1.6879795396419435</v>
      </c>
      <c r="K10" s="5">
        <f>K7/K8*K9</f>
        <v>0.81521739130434778</v>
      </c>
      <c r="L10" s="11"/>
      <c r="M10" s="11"/>
      <c r="N10" s="11"/>
    </row>
    <row r="11" spans="1:17" ht="15">
      <c r="A11" t="s">
        <v>8</v>
      </c>
      <c r="B11" s="4">
        <f>2*PI()*B8</f>
        <v>54.977871437821378</v>
      </c>
      <c r="C11" s="4">
        <f>2*PI()*C8</f>
        <v>54.977871437821378</v>
      </c>
      <c r="D11" s="4">
        <f>2*PI()*D8</f>
        <v>54.977871437821378</v>
      </c>
      <c r="E11" s="4">
        <f>2*PI()*E8</f>
        <v>54.977871437821378</v>
      </c>
      <c r="F11" s="4">
        <f>2*PI()*F8</f>
        <v>23.247785636564469</v>
      </c>
      <c r="G11" s="4">
        <f>2*PI()*G8</f>
        <v>23.247785636564469</v>
      </c>
      <c r="H11" s="4">
        <f>2*PI()*H8</f>
        <v>37.070793312359562</v>
      </c>
      <c r="I11" s="4">
        <f>2*PI()*I8</f>
        <v>37.070793312359562</v>
      </c>
      <c r="J11" s="4">
        <f>2*PI()*J8</f>
        <v>43.353978619539149</v>
      </c>
      <c r="K11" s="4">
        <f>2*PI()*K8</f>
        <v>43.353978619539149</v>
      </c>
      <c r="L11" s="11"/>
      <c r="M11" s="11"/>
      <c r="N11" s="11"/>
    </row>
    <row r="12" spans="1:17" ht="15">
      <c r="A12" t="s">
        <v>40</v>
      </c>
      <c r="B12" s="6">
        <f>$Q$4*60*B7/B11</f>
        <v>528.52323294844223</v>
      </c>
      <c r="C12" s="6">
        <f>$Q$4*60*C7/C11</f>
        <v>453.01991395580768</v>
      </c>
      <c r="D12" s="6">
        <f>$Q$4*60*D7/D11</f>
        <v>396.39242471133161</v>
      </c>
      <c r="E12" s="6">
        <f>$Q$4*60*E7/E11</f>
        <v>317.11393976906538</v>
      </c>
      <c r="F12" s="6">
        <f>$Q$4*60*F7/F11</f>
        <v>503.03178043791451</v>
      </c>
      <c r="G12" s="6">
        <f>$Q$4*60*G7/G11</f>
        <v>402.42542435033158</v>
      </c>
      <c r="H12" s="6">
        <f>$Q$4*60*H7/H11</f>
        <v>378.55272968548138</v>
      </c>
      <c r="I12" s="6">
        <f>$Q$4*60*I7/I11</f>
        <v>504.73697291397514</v>
      </c>
      <c r="J12" s="6">
        <f>$Q$4*60*J7/J11</f>
        <v>558.52394786218213</v>
      </c>
      <c r="K12" s="6">
        <f>$Q$4*60*K7/K11</f>
        <v>269.74167936525845</v>
      </c>
      <c r="L12" s="8" t="s">
        <v>44</v>
      </c>
      <c r="M12" s="8"/>
      <c r="N12" s="8"/>
    </row>
    <row r="13" spans="1:17">
      <c r="A13" t="s">
        <v>13</v>
      </c>
      <c r="B13" cm="1">
        <f t="array" ref="B13">ROUND(INDEX(Table1[Torque],MATCH(MIN(ABS(Table1[RPM]-Calculations!B12)),ABS(Table1[RPM]-Calculations!B12),0))*B10,0)</f>
        <v>181</v>
      </c>
      <c r="C13" cm="1">
        <f t="array" ref="C13">ROUND(INDEX(Table1[Torque],MATCH(MIN(ABS(Table1[RPM]-Calculations!C12)),ABS(Table1[RPM]-Calculations!C12),0))*C10,0)</f>
        <v>152</v>
      </c>
      <c r="D13" cm="1">
        <f t="array" ref="D13">ROUND(INDEX(Table1[Torque],MATCH(MIN(ABS(Table1[RPM]-Calculations!D12)),ABS(Table1[RPM]-Calculations!D12),0))*D10,0)</f>
        <v>132</v>
      </c>
      <c r="E13" cm="1">
        <f t="array" ref="E13">ROUND(INDEX(Table1[Torque],MATCH(MIN(ABS(Table1[RPM]-Calculations!E12)),ABS(Table1[RPM]-Calculations!E12),0))*E10,0)</f>
        <v>102</v>
      </c>
      <c r="F13" cm="1">
        <f t="array" ref="F13">ROUND(INDEX(Table1[Torque],MATCH(MIN(ABS(Table1[RPM]-Calculations!F12)),ABS(Table1[RPM]-Calculations!F12),0))*F10,0)</f>
        <v>180</v>
      </c>
      <c r="G13" cm="1">
        <f t="array" ref="G13">ROUND(INDEX(Table1[Torque],MATCH(MIN(ABS(Table1[RPM]-Calculations!G12)),ABS(Table1[RPM]-Calculations!G12),0))*G10,0)</f>
        <v>141</v>
      </c>
      <c r="H13" cm="1">
        <f t="array" ref="H13">ROUND(INDEX(Table1[Torque],MATCH(MIN(ABS(Table1[RPM]-Calculations!H12)),ABS(Table1[RPM]-Calculations!H12),0))*H10,0)</f>
        <v>132</v>
      </c>
      <c r="I13" cm="1">
        <f t="array" ref="I13">ROUND(INDEX(Table1[Torque],MATCH(MIN(ABS(Table1[RPM]-Calculations!I12)),ABS(Table1[RPM]-Calculations!I12),0))*I10,0)</f>
        <v>180</v>
      </c>
      <c r="J13" cm="1">
        <f t="array" ref="J13">ROUND(INDEX(Table1[Torque],MATCH(MIN(ABS(Table1[RPM]-Calculations!J12)),ABS(Table1[RPM]-Calculations!J12),0))*J10,0)</f>
        <v>192</v>
      </c>
      <c r="K13" cm="1">
        <f t="array" ref="K13">ROUND(INDEX(Table1[Torque],MATCH(MIN(ABS(Table1[RPM]-Calculations!K12)),ABS(Table1[RPM]-Calculations!K12),0))*K10,0)</f>
        <v>85</v>
      </c>
      <c r="L13" s="8"/>
      <c r="M13" s="8"/>
      <c r="N13" s="8"/>
    </row>
    <row r="14" spans="1:17" hidden="1">
      <c r="A14" t="s">
        <v>16</v>
      </c>
      <c r="B14">
        <v>4.5</v>
      </c>
      <c r="F14">
        <v>7.82</v>
      </c>
      <c r="I14">
        <v>10.35</v>
      </c>
      <c r="J14">
        <v>4.5</v>
      </c>
      <c r="K14">
        <v>4.5</v>
      </c>
    </row>
    <row r="15" spans="1:17" hidden="1">
      <c r="A15" t="s">
        <v>17</v>
      </c>
      <c r="B15">
        <v>0.9</v>
      </c>
      <c r="J15">
        <v>0.9</v>
      </c>
      <c r="K15">
        <v>0.9</v>
      </c>
    </row>
    <row r="16" spans="1:17" hidden="1">
      <c r="A16" t="s">
        <v>18</v>
      </c>
      <c r="B16">
        <f>13.7</f>
        <v>13.7</v>
      </c>
      <c r="F16">
        <v>5.5</v>
      </c>
      <c r="I16">
        <v>5.75</v>
      </c>
    </row>
    <row r="17" spans="1:11" hidden="1">
      <c r="A17" t="s">
        <v>19</v>
      </c>
      <c r="B17">
        <v>0.7</v>
      </c>
      <c r="F17">
        <v>1.1000000000000001</v>
      </c>
      <c r="I17">
        <v>0.72</v>
      </c>
      <c r="J17">
        <v>0.7</v>
      </c>
      <c r="K17">
        <v>0.7</v>
      </c>
    </row>
    <row r="18" spans="1:11" hidden="1">
      <c r="A18" t="s">
        <v>20</v>
      </c>
      <c r="B18">
        <v>1</v>
      </c>
      <c r="I18">
        <f>2*0.38</f>
        <v>0.76</v>
      </c>
      <c r="J18">
        <v>1</v>
      </c>
      <c r="K18">
        <v>1</v>
      </c>
    </row>
    <row r="19" spans="1:11" hidden="1">
      <c r="A19" t="s">
        <v>32</v>
      </c>
      <c r="B19">
        <f>SUM(B14:B18)</f>
        <v>20.8</v>
      </c>
      <c r="C19">
        <f t="shared" ref="C19:K19" si="1">SUM(C14:C18)</f>
        <v>0</v>
      </c>
      <c r="D19">
        <f t="shared" si="1"/>
        <v>0</v>
      </c>
      <c r="E19">
        <f t="shared" si="1"/>
        <v>0</v>
      </c>
      <c r="F19">
        <f t="shared" si="1"/>
        <v>14.42</v>
      </c>
      <c r="G19">
        <f t="shared" si="1"/>
        <v>0</v>
      </c>
      <c r="H19">
        <f t="shared" si="1"/>
        <v>0</v>
      </c>
      <c r="I19">
        <f t="shared" si="1"/>
        <v>17.580000000000002</v>
      </c>
      <c r="J19">
        <f t="shared" si="1"/>
        <v>7.1000000000000005</v>
      </c>
      <c r="K19">
        <f t="shared" si="1"/>
        <v>7.1000000000000005</v>
      </c>
    </row>
    <row r="23" spans="1:11">
      <c r="A23" t="s">
        <v>25</v>
      </c>
      <c r="B23" t="s">
        <v>21</v>
      </c>
      <c r="C23" t="s">
        <v>22</v>
      </c>
      <c r="D23" t="s">
        <v>27</v>
      </c>
      <c r="E23" t="s">
        <v>23</v>
      </c>
      <c r="F23" t="s">
        <v>26</v>
      </c>
      <c r="G23" t="s">
        <v>24</v>
      </c>
      <c r="H23" t="s">
        <v>37</v>
      </c>
    </row>
    <row r="24" spans="1:11">
      <c r="A24">
        <v>10</v>
      </c>
      <c r="B24" cm="1">
        <f t="array" ref="B24">ROUND(INDEX(Table1[Torque],MATCH(MIN(ABS(Table1[RPM]-Table3[[#This Row],[Flow]]/2.405*60*$B$7/$B$11)),ABS(Table1[RPM]-Table3[[#This Row],[Flow]]/2.405*60*$B$7/$B$11),0))*$B$10,0)</f>
        <v>152</v>
      </c>
      <c r="C24" cm="1">
        <f t="array" ref="C24">ROUND(INDEX(Table1[Torque],MATCH(MIN(ABS(Table1[RPM]-Table3[[#This Row],[Flow]]/2.405*60*$F$7/$F$11)),ABS(Table1[RPM]-Table3[[#This Row],[Flow]]/2.405*60*$F$7/$F$11),0))*$F$10,0)</f>
        <v>152</v>
      </c>
      <c r="D24" cm="1">
        <f t="array" ref="D24">ROUND(INDEX(Table1[Torque],MATCH(MIN(ABS(Table1[RPM]-Table3[[#This Row],[Flow]]/2.405*60*$G$7/$G$11)),ABS(Table1[RPM]-Table3[[#This Row],[Flow]]/2.405*60*$G$7/$G$11),0))*$G$10,0)</f>
        <v>122</v>
      </c>
      <c r="E24" cm="1">
        <f t="array" ref="E24">ROUND(INDEX(Table1[Torque],MATCH(MIN(ABS(Table1[RPM]-Table3[[#This Row],[Flow]]/2.405*60*$H$7/$H$11)),ABS(Table1[RPM]-Table3[[#This Row],[Flow]]/2.405*60*$H$7/$H$11),0))*$H$10,0)</f>
        <v>115</v>
      </c>
      <c r="F24" cm="1">
        <f t="array" ref="F24">ROUND(INDEX(Table1[Torque],MATCH(MIN(ABS(Table1[RPM]-Table3[[#This Row],[Flow]]/2.405*60*$I$7/$I$11)),ABS(Table1[RPM]-Table3[[#This Row],[Flow]]/2.405*60*$I$7/$I$11),0))*$I$10,0)</f>
        <v>153</v>
      </c>
      <c r="G24" cm="1">
        <f t="array" ref="G24">ROUND(INDEX(Table1[Torque],MATCH(MIN(ABS(Table1[RPM]-Table3[[#This Row],[Flow]]/2.405*60*$J$7/$J$11)),ABS(Table1[RPM]-Table3[[#This Row],[Flow]]/2.405*60*$J$7/$J$11),0))*$J$10,0)</f>
        <v>160</v>
      </c>
      <c r="H24" cm="1">
        <f t="array" ref="H24">ROUND(INDEX(Table1[Torque],MATCH(MIN(ABS(Table1[RPM]-Table3[[#This Row],[Flow]]/2.405*60*$K$7/$K$11)),ABS(Table1[RPM]-Table3[[#This Row],[Flow]]/2.405*60*$K$7/$K$11),0))*$K$10,0)</f>
        <v>77</v>
      </c>
    </row>
    <row r="25" spans="1:11">
      <c r="A25">
        <v>15</v>
      </c>
      <c r="B25" cm="1">
        <f t="array" ref="B25">ROUND(INDEX(Table1[Torque],MATCH(MIN(ABS(Table1[RPM]-Table3[[#This Row],[Flow]]/2.405*60*$B$7/$B$11)),ABS(Table1[RPM]-Table3[[#This Row],[Flow]]/2.405*60*$B$7/$B$11),0))*$B$10,0)</f>
        <v>152</v>
      </c>
      <c r="C25" cm="1">
        <f t="array" ref="C25">ROUND(INDEX(Table1[Torque],MATCH(MIN(ABS(Table1[RPM]-Table3[[#This Row],[Flow]]/2.405*60*$F$7/$F$11)),ABS(Table1[RPM]-Table3[[#This Row],[Flow]]/2.405*60*$F$7/$F$11),0))*$F$10,0)</f>
        <v>152</v>
      </c>
      <c r="D25" cm="1">
        <f t="array" ref="D25">ROUND(INDEX(Table1[Torque],MATCH(MIN(ABS(Table1[RPM]-Table3[[#This Row],[Flow]]/2.405*60*$G$7/$G$11)),ABS(Table1[RPM]-Table3[[#This Row],[Flow]]/2.405*60*$G$7/$G$11),0))*$G$10,0)</f>
        <v>122</v>
      </c>
      <c r="E25" cm="1">
        <f t="array" ref="E25">ROUND(INDEX(Table1[Torque],MATCH(MIN(ABS(Table1[RPM]-Table3[[#This Row],[Flow]]/2.405*60*$H$7/$H$11)),ABS(Table1[RPM]-Table3[[#This Row],[Flow]]/2.405*60*$H$7/$H$11),0))*$H$10,0)</f>
        <v>115</v>
      </c>
      <c r="F25" cm="1">
        <f t="array" ref="F25">ROUND(INDEX(Table1[Torque],MATCH(MIN(ABS(Table1[RPM]-Table3[[#This Row],[Flow]]/2.405*60*$I$7/$I$11)),ABS(Table1[RPM]-Table3[[#This Row],[Flow]]/2.405*60*$I$7/$I$11),0))*$I$10,0)</f>
        <v>153</v>
      </c>
      <c r="G25" cm="1">
        <f t="array" ref="G25">ROUND(INDEX(Table1[Torque],MATCH(MIN(ABS(Table1[RPM]-Table3[[#This Row],[Flow]]/2.405*60*$J$7/$J$11)),ABS(Table1[RPM]-Table3[[#This Row],[Flow]]/2.405*60*$J$7/$J$11),0))*$J$10,0)</f>
        <v>161</v>
      </c>
      <c r="H25" cm="1">
        <f t="array" ref="H25">ROUND(INDEX(Table1[Torque],MATCH(MIN(ABS(Table1[RPM]-Table3[[#This Row],[Flow]]/2.405*60*$K$7/$K$11)),ABS(Table1[RPM]-Table3[[#This Row],[Flow]]/2.405*60*$K$7/$K$11),0))*$K$10,0)</f>
        <v>77</v>
      </c>
    </row>
    <row r="26" spans="1:11">
      <c r="A26">
        <v>20</v>
      </c>
      <c r="B26" cm="1">
        <f t="array" ref="B26">ROUND(INDEX(Table1[Torque],MATCH(MIN(ABS(Table1[RPM]-Table3[[#This Row],[Flow]]/2.405*60*$B$7/$B$11)),ABS(Table1[RPM]-Table3[[#This Row],[Flow]]/2.405*60*$B$7/$B$11),0))*$B$10,0)</f>
        <v>154</v>
      </c>
      <c r="C26" cm="1">
        <f t="array" ref="C26">ROUND(INDEX(Table1[Torque],MATCH(MIN(ABS(Table1[RPM]-Table3[[#This Row],[Flow]]/2.405*60*$F$7/$F$11)),ABS(Table1[RPM]-Table3[[#This Row],[Flow]]/2.405*60*$F$7/$F$11),0))*$F$10,0)</f>
        <v>154</v>
      </c>
      <c r="D26" cm="1">
        <f t="array" ref="D26">ROUND(INDEX(Table1[Torque],MATCH(MIN(ABS(Table1[RPM]-Table3[[#This Row],[Flow]]/2.405*60*$G$7/$G$11)),ABS(Table1[RPM]-Table3[[#This Row],[Flow]]/2.405*60*$G$7/$G$11),0))*$G$10,0)</f>
        <v>122</v>
      </c>
      <c r="E26" cm="1">
        <f t="array" ref="E26">ROUND(INDEX(Table1[Torque],MATCH(MIN(ABS(Table1[RPM]-Table3[[#This Row],[Flow]]/2.405*60*$H$7/$H$11)),ABS(Table1[RPM]-Table3[[#This Row],[Flow]]/2.405*60*$H$7/$H$11),0))*$H$10,0)</f>
        <v>115</v>
      </c>
      <c r="F26" cm="1">
        <f t="array" ref="F26">ROUND(INDEX(Table1[Torque],MATCH(MIN(ABS(Table1[RPM]-Table3[[#This Row],[Flow]]/2.405*60*$I$7/$I$11)),ABS(Table1[RPM]-Table3[[#This Row],[Flow]]/2.405*60*$I$7/$I$11),0))*$I$10,0)</f>
        <v>155</v>
      </c>
      <c r="G26" cm="1">
        <f t="array" ref="G26">ROUND(INDEX(Table1[Torque],MATCH(MIN(ABS(Table1[RPM]-Table3[[#This Row],[Flow]]/2.405*60*$J$7/$J$11)),ABS(Table1[RPM]-Table3[[#This Row],[Flow]]/2.405*60*$J$7/$J$11),0))*$J$10,0)</f>
        <v>164</v>
      </c>
      <c r="H26" cm="1">
        <f t="array" ref="H26">ROUND(INDEX(Table1[Torque],MATCH(MIN(ABS(Table1[RPM]-Table3[[#This Row],[Flow]]/2.405*60*$K$7/$K$11)),ABS(Table1[RPM]-Table3[[#This Row],[Flow]]/2.405*60*$K$7/$K$11),0))*$K$10,0)</f>
        <v>77</v>
      </c>
    </row>
    <row r="27" spans="1:11">
      <c r="A27">
        <v>25</v>
      </c>
      <c r="B27" cm="1">
        <f t="array" ref="B27">ROUND(INDEX(Table1[Torque],MATCH(MIN(ABS(Table1[RPM]-Table3[[#This Row],[Flow]]/2.405*60*$B$7/$B$11)),ABS(Table1[RPM]-Table3[[#This Row],[Flow]]/2.405*60*$B$7/$B$11),0))*$B$10,0)</f>
        <v>158</v>
      </c>
      <c r="C27" cm="1">
        <f t="array" ref="C27">ROUND(INDEX(Table1[Torque],MATCH(MIN(ABS(Table1[RPM]-Table3[[#This Row],[Flow]]/2.405*60*$F$7/$F$11)),ABS(Table1[RPM]-Table3[[#This Row],[Flow]]/2.405*60*$F$7/$F$11),0))*$F$10,0)</f>
        <v>158</v>
      </c>
      <c r="D27" cm="1">
        <f t="array" ref="D27">ROUND(INDEX(Table1[Torque],MATCH(MIN(ABS(Table1[RPM]-Table3[[#This Row],[Flow]]/2.405*60*$G$7/$G$11)),ABS(Table1[RPM]-Table3[[#This Row],[Flow]]/2.405*60*$G$7/$G$11),0))*$G$10,0)</f>
        <v>124</v>
      </c>
      <c r="E27" cm="1">
        <f t="array" ref="E27">ROUND(INDEX(Table1[Torque],MATCH(MIN(ABS(Table1[RPM]-Table3[[#This Row],[Flow]]/2.405*60*$H$7/$H$11)),ABS(Table1[RPM]-Table3[[#This Row],[Flow]]/2.405*60*$H$7/$H$11),0))*$H$10,0)</f>
        <v>116</v>
      </c>
      <c r="F27" cm="1">
        <f t="array" ref="F27">ROUND(INDEX(Table1[Torque],MATCH(MIN(ABS(Table1[RPM]-Table3[[#This Row],[Flow]]/2.405*60*$I$7/$I$11)),ABS(Table1[RPM]-Table3[[#This Row],[Flow]]/2.405*60*$I$7/$I$11),0))*$I$10,0)</f>
        <v>158</v>
      </c>
      <c r="G27" cm="1">
        <f t="array" ref="G27">ROUND(INDEX(Table1[Torque],MATCH(MIN(ABS(Table1[RPM]-Table3[[#This Row],[Flow]]/2.405*60*$J$7/$J$11)),ABS(Table1[RPM]-Table3[[#This Row],[Flow]]/2.405*60*$J$7/$J$11),0))*$J$10,0)</f>
        <v>168</v>
      </c>
      <c r="H27" cm="1">
        <f t="array" ref="H27">ROUND(INDEX(Table1[Torque],MATCH(MIN(ABS(Table1[RPM]-Table3[[#This Row],[Flow]]/2.405*60*$K$7/$K$11)),ABS(Table1[RPM]-Table3[[#This Row],[Flow]]/2.405*60*$K$7/$K$11),0))*$K$10,0)</f>
        <v>77</v>
      </c>
    </row>
    <row r="28" spans="1:11">
      <c r="A28">
        <v>30</v>
      </c>
      <c r="B28" cm="1">
        <f t="array" ref="B28">ROUND(INDEX(Table1[Torque],MATCH(MIN(ABS(Table1[RPM]-Table3[[#This Row],[Flow]]/2.405*60*$B$7/$B$11)),ABS(Table1[RPM]-Table3[[#This Row],[Flow]]/2.405*60*$B$7/$B$11),0))*$B$10,0)</f>
        <v>161</v>
      </c>
      <c r="C28" cm="1">
        <f t="array" ref="C28">ROUND(INDEX(Table1[Torque],MATCH(MIN(ABS(Table1[RPM]-Table3[[#This Row],[Flow]]/2.405*60*$F$7/$F$11)),ABS(Table1[RPM]-Table3[[#This Row],[Flow]]/2.405*60*$F$7/$F$11),0))*$F$10,0)</f>
        <v>160</v>
      </c>
      <c r="D28" cm="1">
        <f t="array" ref="D28">ROUND(INDEX(Table1[Torque],MATCH(MIN(ABS(Table1[RPM]-Table3[[#This Row],[Flow]]/2.405*60*$G$7/$G$11)),ABS(Table1[RPM]-Table3[[#This Row],[Flow]]/2.405*60*$G$7/$G$11),0))*$G$10,0)</f>
        <v>125</v>
      </c>
      <c r="E28" cm="1">
        <f t="array" ref="E28">ROUND(INDEX(Table1[Torque],MATCH(MIN(ABS(Table1[RPM]-Table3[[#This Row],[Flow]]/2.405*60*$H$7/$H$11)),ABS(Table1[RPM]-Table3[[#This Row],[Flow]]/2.405*60*$H$7/$H$11),0))*$H$10,0)</f>
        <v>117</v>
      </c>
      <c r="F28" cm="1">
        <f t="array" ref="F28">ROUND(INDEX(Table1[Torque],MATCH(MIN(ABS(Table1[RPM]-Table3[[#This Row],[Flow]]/2.405*60*$I$7/$I$11)),ABS(Table1[RPM]-Table3[[#This Row],[Flow]]/2.405*60*$I$7/$I$11),0))*$I$10,0)</f>
        <v>161</v>
      </c>
      <c r="G28" cm="1">
        <f t="array" ref="G28">ROUND(INDEX(Table1[Torque],MATCH(MIN(ABS(Table1[RPM]-Table3[[#This Row],[Flow]]/2.405*60*$J$7/$J$11)),ABS(Table1[RPM]-Table3[[#This Row],[Flow]]/2.405*60*$J$7/$J$11),0))*$J$10,0)</f>
        <v>171</v>
      </c>
      <c r="H28" cm="1">
        <f t="array" ref="H28">ROUND(INDEX(Table1[Torque],MATCH(MIN(ABS(Table1[RPM]-Table3[[#This Row],[Flow]]/2.405*60*$K$7/$K$11)),ABS(Table1[RPM]-Table3[[#This Row],[Flow]]/2.405*60*$K$7/$K$11),0))*$K$10,0)</f>
        <v>78</v>
      </c>
    </row>
    <row r="29" spans="1:11">
      <c r="A29">
        <v>35</v>
      </c>
      <c r="B29" cm="1">
        <f t="array" ref="B29">ROUND(INDEX(Table1[Torque],MATCH(MIN(ABS(Table1[RPM]-Table3[[#This Row],[Flow]]/2.405*60*$B$7/$B$11)),ABS(Table1[RPM]-Table3[[#This Row],[Flow]]/2.405*60*$B$7/$B$11),0))*$B$10,0)</f>
        <v>165</v>
      </c>
      <c r="C29" cm="1">
        <f t="array" ref="C29">ROUND(INDEX(Table1[Torque],MATCH(MIN(ABS(Table1[RPM]-Table3[[#This Row],[Flow]]/2.405*60*$F$7/$F$11)),ABS(Table1[RPM]-Table3[[#This Row],[Flow]]/2.405*60*$F$7/$F$11),0))*$F$10,0)</f>
        <v>163</v>
      </c>
      <c r="D29" cm="1">
        <f t="array" ref="D29">ROUND(INDEX(Table1[Torque],MATCH(MIN(ABS(Table1[RPM]-Table3[[#This Row],[Flow]]/2.405*60*$G$7/$G$11)),ABS(Table1[RPM]-Table3[[#This Row],[Flow]]/2.405*60*$G$7/$G$11),0))*$G$10,0)</f>
        <v>128</v>
      </c>
      <c r="E29" cm="1">
        <f t="array" ref="E29">ROUND(INDEX(Table1[Torque],MATCH(MIN(ABS(Table1[RPM]-Table3[[#This Row],[Flow]]/2.405*60*$H$7/$H$11)),ABS(Table1[RPM]-Table3[[#This Row],[Flow]]/2.405*60*$H$7/$H$11),0))*$H$10,0)</f>
        <v>119</v>
      </c>
      <c r="F29" cm="1">
        <f t="array" ref="F29">ROUND(INDEX(Table1[Torque],MATCH(MIN(ABS(Table1[RPM]-Table3[[#This Row],[Flow]]/2.405*60*$I$7/$I$11)),ABS(Table1[RPM]-Table3[[#This Row],[Flow]]/2.405*60*$I$7/$I$11),0))*$I$10,0)</f>
        <v>165</v>
      </c>
      <c r="G29" cm="1">
        <f t="array" ref="G29">ROUND(INDEX(Table1[Torque],MATCH(MIN(ABS(Table1[RPM]-Table3[[#This Row],[Flow]]/2.405*60*$J$7/$J$11)),ABS(Table1[RPM]-Table3[[#This Row],[Flow]]/2.405*60*$J$7/$J$11),0))*$J$10,0)</f>
        <v>175</v>
      </c>
      <c r="H29" cm="1">
        <f t="array" ref="H29">ROUND(INDEX(Table1[Torque],MATCH(MIN(ABS(Table1[RPM]-Table3[[#This Row],[Flow]]/2.405*60*$K$7/$K$11)),ABS(Table1[RPM]-Table3[[#This Row],[Flow]]/2.405*60*$K$7/$K$11),0))*$K$10,0)</f>
        <v>78</v>
      </c>
    </row>
    <row r="30" spans="1:11">
      <c r="A30">
        <v>40</v>
      </c>
      <c r="B30" cm="1">
        <f t="array" ref="B30">ROUND(INDEX(Table1[Torque],MATCH(MIN(ABS(Table1[RPM]-Table3[[#This Row],[Flow]]/2.405*60*$B$7/$B$11)),ABS(Table1[RPM]-Table3[[#This Row],[Flow]]/2.405*60*$B$7/$B$11),0))*$B$10,0)</f>
        <v>166</v>
      </c>
      <c r="C30" cm="1">
        <f t="array" ref="C30">ROUND(INDEX(Table1[Torque],MATCH(MIN(ABS(Table1[RPM]-Table3[[#This Row],[Flow]]/2.405*60*$F$7/$F$11)),ABS(Table1[RPM]-Table3[[#This Row],[Flow]]/2.405*60*$F$7/$F$11),0))*$F$10,0)</f>
        <v>167</v>
      </c>
      <c r="D30" cm="1">
        <f t="array" ref="D30">ROUND(INDEX(Table1[Torque],MATCH(MIN(ABS(Table1[RPM]-Table3[[#This Row],[Flow]]/2.405*60*$G$7/$G$11)),ABS(Table1[RPM]-Table3[[#This Row],[Flow]]/2.405*60*$G$7/$G$11),0))*$G$10,0)</f>
        <v>129</v>
      </c>
      <c r="E30" cm="1">
        <f t="array" ref="E30">ROUND(INDEX(Table1[Torque],MATCH(MIN(ABS(Table1[RPM]-Table3[[#This Row],[Flow]]/2.405*60*$H$7/$H$11)),ABS(Table1[RPM]-Table3[[#This Row],[Flow]]/2.405*60*$H$7/$H$11),0))*$H$10,0)</f>
        <v>121</v>
      </c>
      <c r="F30" cm="1">
        <f t="array" ref="F30">ROUND(INDEX(Table1[Torque],MATCH(MIN(ABS(Table1[RPM]-Table3[[#This Row],[Flow]]/2.405*60*$I$7/$I$11)),ABS(Table1[RPM]-Table3[[#This Row],[Flow]]/2.405*60*$I$7/$I$11),0))*$I$10,0)</f>
        <v>167</v>
      </c>
      <c r="G30" cm="1">
        <f t="array" ref="G30">ROUND(INDEX(Table1[Torque],MATCH(MIN(ABS(Table1[RPM]-Table3[[#This Row],[Flow]]/2.405*60*$J$7/$J$11)),ABS(Table1[RPM]-Table3[[#This Row],[Flow]]/2.405*60*$J$7/$J$11),0))*$J$10,0)</f>
        <v>177</v>
      </c>
      <c r="H30" cm="1">
        <f t="array" ref="H30">ROUND(INDEX(Table1[Torque],MATCH(MIN(ABS(Table1[RPM]-Table3[[#This Row],[Flow]]/2.405*60*$K$7/$K$11)),ABS(Table1[RPM]-Table3[[#This Row],[Flow]]/2.405*60*$K$7/$K$11),0))*$K$10,0)</f>
        <v>79</v>
      </c>
    </row>
    <row r="31" spans="1:11">
      <c r="A31">
        <v>45</v>
      </c>
      <c r="B31" cm="1">
        <f t="array" ref="B31">ROUND(INDEX(Table1[Torque],MATCH(MIN(ABS(Table1[RPM]-Table3[[#This Row],[Flow]]/2.405*60*$B$7/$B$11)),ABS(Table1[RPM]-Table3[[#This Row],[Flow]]/2.405*60*$B$7/$B$11),0))*$B$10,0)</f>
        <v>170</v>
      </c>
      <c r="C31" cm="1">
        <f t="array" ref="C31">ROUND(INDEX(Table1[Torque],MATCH(MIN(ABS(Table1[RPM]-Table3[[#This Row],[Flow]]/2.405*60*$F$7/$F$11)),ABS(Table1[RPM]-Table3[[#This Row],[Flow]]/2.405*60*$F$7/$F$11),0))*$F$10,0)</f>
        <v>168</v>
      </c>
      <c r="D31" cm="1">
        <f t="array" ref="D31">ROUND(INDEX(Table1[Torque],MATCH(MIN(ABS(Table1[RPM]-Table3[[#This Row],[Flow]]/2.405*60*$G$7/$G$11)),ABS(Table1[RPM]-Table3[[#This Row],[Flow]]/2.405*60*$G$7/$G$11),0))*$G$10,0)</f>
        <v>131</v>
      </c>
      <c r="E31" cm="1">
        <f t="array" ref="E31">ROUND(INDEX(Table1[Torque],MATCH(MIN(ABS(Table1[RPM]-Table3[[#This Row],[Flow]]/2.405*60*$H$7/$H$11)),ABS(Table1[RPM]-Table3[[#This Row],[Flow]]/2.405*60*$H$7/$H$11),0))*$H$10,0)</f>
        <v>123</v>
      </c>
      <c r="F31" cm="1">
        <f t="array" ref="F31">ROUND(INDEX(Table1[Torque],MATCH(MIN(ABS(Table1[RPM]-Table3[[#This Row],[Flow]]/2.405*60*$I$7/$I$11)),ABS(Table1[RPM]-Table3[[#This Row],[Flow]]/2.405*60*$I$7/$I$11),0))*$I$10,0)</f>
        <v>169</v>
      </c>
      <c r="G31" cm="1">
        <f t="array" ref="G31">ROUND(INDEX(Table1[Torque],MATCH(MIN(ABS(Table1[RPM]-Table3[[#This Row],[Flow]]/2.405*60*$J$7/$J$11)),ABS(Table1[RPM]-Table3[[#This Row],[Flow]]/2.405*60*$J$7/$J$11),0))*$J$10,0)</f>
        <v>181</v>
      </c>
      <c r="H31" cm="1">
        <f t="array" ref="H31">ROUND(INDEX(Table1[Torque],MATCH(MIN(ABS(Table1[RPM]-Table3[[#This Row],[Flow]]/2.405*60*$K$7/$K$11)),ABS(Table1[RPM]-Table3[[#This Row],[Flow]]/2.405*60*$K$7/$K$11),0))*$K$10,0)</f>
        <v>80</v>
      </c>
    </row>
    <row r="32" spans="1:11">
      <c r="A32">
        <v>50</v>
      </c>
      <c r="B32" cm="1">
        <f t="array" ref="B32">ROUND(INDEX(Table1[Torque],MATCH(MIN(ABS(Table1[RPM]-Table3[[#This Row],[Flow]]/2.405*60*$B$7/$B$11)),ABS(Table1[RPM]-Table3[[#This Row],[Flow]]/2.405*60*$B$7/$B$11),0))*$B$10,0)</f>
        <v>173</v>
      </c>
      <c r="C32" cm="1">
        <f t="array" ref="C32">ROUND(INDEX(Table1[Torque],MATCH(MIN(ABS(Table1[RPM]-Table3[[#This Row],[Flow]]/2.405*60*$F$7/$F$11)),ABS(Table1[RPM]-Table3[[#This Row],[Flow]]/2.405*60*$F$7/$F$11),0))*$F$10,0)</f>
        <v>172</v>
      </c>
      <c r="D32" cm="1">
        <f t="array" ref="D32">ROUND(INDEX(Table1[Torque],MATCH(MIN(ABS(Table1[RPM]-Table3[[#This Row],[Flow]]/2.405*60*$G$7/$G$11)),ABS(Table1[RPM]-Table3[[#This Row],[Flow]]/2.405*60*$G$7/$G$11),0))*$G$10,0)</f>
        <v>133</v>
      </c>
      <c r="E32" cm="1">
        <f t="array" ref="E32">ROUND(INDEX(Table1[Torque],MATCH(MIN(ABS(Table1[RPM]-Table3[[#This Row],[Flow]]/2.405*60*$H$7/$H$11)),ABS(Table1[RPM]-Table3[[#This Row],[Flow]]/2.405*60*$H$7/$H$11),0))*$H$10,0)</f>
        <v>124</v>
      </c>
      <c r="F32" cm="1">
        <f t="array" ref="F32">ROUND(INDEX(Table1[Torque],MATCH(MIN(ABS(Table1[RPM]-Table3[[#This Row],[Flow]]/2.405*60*$I$7/$I$11)),ABS(Table1[RPM]-Table3[[#This Row],[Flow]]/2.405*60*$I$7/$I$11),0))*$I$10,0)</f>
        <v>173</v>
      </c>
      <c r="G32" cm="1">
        <f t="array" ref="G32">ROUND(INDEX(Table1[Torque],MATCH(MIN(ABS(Table1[RPM]-Table3[[#This Row],[Flow]]/2.405*60*$J$7/$J$11)),ABS(Table1[RPM]-Table3[[#This Row],[Flow]]/2.405*60*$J$7/$J$11),0))*$J$10,0)</f>
        <v>184</v>
      </c>
      <c r="H32" cm="1">
        <f t="array" ref="H32">ROUND(INDEX(Table1[Torque],MATCH(MIN(ABS(Table1[RPM]-Table3[[#This Row],[Flow]]/2.405*60*$K$7/$K$11)),ABS(Table1[RPM]-Table3[[#This Row],[Flow]]/2.405*60*$K$7/$K$11),0))*$K$10,0)</f>
        <v>81</v>
      </c>
    </row>
    <row r="33" spans="1:8">
      <c r="A33">
        <v>55</v>
      </c>
      <c r="B33" cm="1">
        <f t="array" ref="B33">ROUND(INDEX(Table1[Torque],MATCH(MIN(ABS(Table1[RPM]-Table3[[#This Row],[Flow]]/2.405*60*$B$7/$B$11)),ABS(Table1[RPM]-Table3[[#This Row],[Flow]]/2.405*60*$B$7/$B$11),0))*$B$10,0)</f>
        <v>175</v>
      </c>
      <c r="C33" cm="1">
        <f t="array" ref="C33">ROUND(INDEX(Table1[Torque],MATCH(MIN(ABS(Table1[RPM]-Table3[[#This Row],[Flow]]/2.405*60*$F$7/$F$11)),ABS(Table1[RPM]-Table3[[#This Row],[Flow]]/2.405*60*$F$7/$F$11),0))*$F$10,0)</f>
        <v>175</v>
      </c>
      <c r="D33" cm="1">
        <f t="array" ref="D33">ROUND(INDEX(Table1[Torque],MATCH(MIN(ABS(Table1[RPM]-Table3[[#This Row],[Flow]]/2.405*60*$G$7/$G$11)),ABS(Table1[RPM]-Table3[[#This Row],[Flow]]/2.405*60*$G$7/$G$11),0))*$G$10,0)</f>
        <v>135</v>
      </c>
      <c r="E33" cm="1">
        <f t="array" ref="E33">ROUND(INDEX(Table1[Torque],MATCH(MIN(ABS(Table1[RPM]-Table3[[#This Row],[Flow]]/2.405*60*$H$7/$H$11)),ABS(Table1[RPM]-Table3[[#This Row],[Flow]]/2.405*60*$H$7/$H$11),0))*$H$10,0)</f>
        <v>126</v>
      </c>
      <c r="F33" cm="1">
        <f t="array" ref="F33">ROUND(INDEX(Table1[Torque],MATCH(MIN(ABS(Table1[RPM]-Table3[[#This Row],[Flow]]/2.405*60*$I$7/$I$11)),ABS(Table1[RPM]-Table3[[#This Row],[Flow]]/2.405*60*$I$7/$I$11),0))*$I$10,0)</f>
        <v>175</v>
      </c>
      <c r="G33" cm="1">
        <f t="array" ref="G33">ROUND(INDEX(Table1[Torque],MATCH(MIN(ABS(Table1[RPM]-Table3[[#This Row],[Flow]]/2.405*60*$J$7/$J$11)),ABS(Table1[RPM]-Table3[[#This Row],[Flow]]/2.405*60*$J$7/$J$11),0))*$J$10,0)</f>
        <v>186</v>
      </c>
      <c r="H33" cm="1">
        <f t="array" ref="H33">ROUND(INDEX(Table1[Torque],MATCH(MIN(ABS(Table1[RPM]-Table3[[#This Row],[Flow]]/2.405*60*$K$7/$K$11)),ABS(Table1[RPM]-Table3[[#This Row],[Flow]]/2.405*60*$K$7/$K$11),0))*$K$10,0)</f>
        <v>82</v>
      </c>
    </row>
    <row r="34" spans="1:8">
      <c r="A34">
        <v>60</v>
      </c>
      <c r="B34" cm="1">
        <f t="array" ref="B34">ROUND(INDEX(Table1[Torque],MATCH(MIN(ABS(Table1[RPM]-Table3[[#This Row],[Flow]]/2.405*60*$B$7/$B$11)),ABS(Table1[RPM]-Table3[[#This Row],[Flow]]/2.405*60*$B$7/$B$11),0))*$B$10,0)</f>
        <v>176</v>
      </c>
      <c r="C34" cm="1">
        <f t="array" ref="C34">ROUND(INDEX(Table1[Torque],MATCH(MIN(ABS(Table1[RPM]-Table3[[#This Row],[Flow]]/2.405*60*$F$7/$F$11)),ABS(Table1[RPM]-Table3[[#This Row],[Flow]]/2.405*60*$F$7/$F$11),0))*$F$10,0)</f>
        <v>177</v>
      </c>
      <c r="D34" cm="1">
        <f t="array" ref="D34">ROUND(INDEX(Table1[Torque],MATCH(MIN(ABS(Table1[RPM]-Table3[[#This Row],[Flow]]/2.405*60*$G$7/$G$11)),ABS(Table1[RPM]-Table3[[#This Row],[Flow]]/2.405*60*$G$7/$G$11),0))*$G$10,0)</f>
        <v>136</v>
      </c>
      <c r="E34" cm="1">
        <f t="array" ref="E34">ROUND(INDEX(Table1[Torque],MATCH(MIN(ABS(Table1[RPM]-Table3[[#This Row],[Flow]]/2.405*60*$H$7/$H$11)),ABS(Table1[RPM]-Table3[[#This Row],[Flow]]/2.405*60*$H$7/$H$11),0))*$H$10,0)</f>
        <v>127</v>
      </c>
      <c r="F34" cm="1">
        <f t="array" ref="F34">ROUND(INDEX(Table1[Torque],MATCH(MIN(ABS(Table1[RPM]-Table3[[#This Row],[Flow]]/2.405*60*$I$7/$I$11)),ABS(Table1[RPM]-Table3[[#This Row],[Flow]]/2.405*60*$I$7/$I$11),0))*$I$10,0)</f>
        <v>177</v>
      </c>
      <c r="G34" cm="1">
        <f t="array" ref="G34">ROUND(INDEX(Table1[Torque],MATCH(MIN(ABS(Table1[RPM]-Table3[[#This Row],[Flow]]/2.405*60*$J$7/$J$11)),ABS(Table1[RPM]-Table3[[#This Row],[Flow]]/2.405*60*$J$7/$J$11),0))*$J$10,0)</f>
        <v>187</v>
      </c>
      <c r="H34" cm="1">
        <f t="array" ref="H34">ROUND(INDEX(Table1[Torque],MATCH(MIN(ABS(Table1[RPM]-Table3[[#This Row],[Flow]]/2.405*60*$K$7/$K$11)),ABS(Table1[RPM]-Table3[[#This Row],[Flow]]/2.405*60*$K$7/$K$11),0))*$K$10,0)</f>
        <v>83</v>
      </c>
    </row>
    <row r="35" spans="1:8">
      <c r="A35">
        <v>65</v>
      </c>
      <c r="B35" cm="1">
        <f t="array" ref="B35">ROUND(INDEX(Table1[Torque],MATCH(MIN(ABS(Table1[RPM]-Table3[[#This Row],[Flow]]/2.405*60*$B$7/$B$11)),ABS(Table1[RPM]-Table3[[#This Row],[Flow]]/2.405*60*$B$7/$B$11),0))*$B$10,0)</f>
        <v>178</v>
      </c>
      <c r="C35" cm="1">
        <f t="array" ref="C35">ROUND(INDEX(Table1[Torque],MATCH(MIN(ABS(Table1[RPM]-Table3[[#This Row],[Flow]]/2.405*60*$F$7/$F$11)),ABS(Table1[RPM]-Table3[[#This Row],[Flow]]/2.405*60*$F$7/$F$11),0))*$F$10,0)</f>
        <v>178</v>
      </c>
      <c r="D35" cm="1">
        <f t="array" ref="D35">ROUND(INDEX(Table1[Torque],MATCH(MIN(ABS(Table1[RPM]-Table3[[#This Row],[Flow]]/2.405*60*$G$7/$G$11)),ABS(Table1[RPM]-Table3[[#This Row],[Flow]]/2.405*60*$G$7/$G$11),0))*$G$10,0)</f>
        <v>139</v>
      </c>
      <c r="E35" cm="1">
        <f t="array" ref="E35">ROUND(INDEX(Table1[Torque],MATCH(MIN(ABS(Table1[RPM]-Table3[[#This Row],[Flow]]/2.405*60*$H$7/$H$11)),ABS(Table1[RPM]-Table3[[#This Row],[Flow]]/2.405*60*$H$7/$H$11),0))*$H$10,0)</f>
        <v>129</v>
      </c>
      <c r="F35" cm="1">
        <f t="array" ref="F35">ROUND(INDEX(Table1[Torque],MATCH(MIN(ABS(Table1[RPM]-Table3[[#This Row],[Flow]]/2.405*60*$I$7/$I$11)),ABS(Table1[RPM]-Table3[[#This Row],[Flow]]/2.405*60*$I$7/$I$11),0))*$I$10,0)</f>
        <v>178</v>
      </c>
      <c r="G35" cm="1">
        <f t="array" ref="G35">ROUND(INDEX(Table1[Torque],MATCH(MIN(ABS(Table1[RPM]-Table3[[#This Row],[Flow]]/2.405*60*$J$7/$J$11)),ABS(Table1[RPM]-Table3[[#This Row],[Flow]]/2.405*60*$J$7/$J$11),0))*$J$10,0)</f>
        <v>189</v>
      </c>
      <c r="H35" cm="1">
        <f t="array" ref="H35">ROUND(INDEX(Table1[Torque],MATCH(MIN(ABS(Table1[RPM]-Table3[[#This Row],[Flow]]/2.405*60*$K$7/$K$11)),ABS(Table1[RPM]-Table3[[#This Row],[Flow]]/2.405*60*$K$7/$K$11),0))*$K$10,0)</f>
        <v>83</v>
      </c>
    </row>
    <row r="36" spans="1:8">
      <c r="A36">
        <v>70</v>
      </c>
      <c r="B36" cm="1">
        <f t="array" ref="B36">ROUND(INDEX(Table1[Torque],MATCH(MIN(ABS(Table1[RPM]-Table3[[#This Row],[Flow]]/2.405*60*$B$7/$B$11)),ABS(Table1[RPM]-Table3[[#This Row],[Flow]]/2.405*60*$B$7/$B$11),0))*$B$10,0)</f>
        <v>180</v>
      </c>
      <c r="C36" cm="1">
        <f t="array" ref="C36">ROUND(INDEX(Table1[Torque],MATCH(MIN(ABS(Table1[RPM]-Table3[[#This Row],[Flow]]/2.405*60*$F$7/$F$11)),ABS(Table1[RPM]-Table3[[#This Row],[Flow]]/2.405*60*$F$7/$F$11),0))*$F$10,0)</f>
        <v>179</v>
      </c>
      <c r="D36" cm="1">
        <f t="array" ref="D36">ROUND(INDEX(Table1[Torque],MATCH(MIN(ABS(Table1[RPM]-Table3[[#This Row],[Flow]]/2.405*60*$G$7/$G$11)),ABS(Table1[RPM]-Table3[[#This Row],[Flow]]/2.405*60*$G$7/$G$11),0))*$G$10,0)</f>
        <v>140</v>
      </c>
      <c r="E36" cm="1">
        <f t="array" ref="E36">ROUND(INDEX(Table1[Torque],MATCH(MIN(ABS(Table1[RPM]-Table3[[#This Row],[Flow]]/2.405*60*$H$7/$H$11)),ABS(Table1[RPM]-Table3[[#This Row],[Flow]]/2.405*60*$H$7/$H$11),0))*$H$10,0)</f>
        <v>130</v>
      </c>
      <c r="F36" cm="1">
        <f t="array" ref="F36">ROUND(INDEX(Table1[Torque],MATCH(MIN(ABS(Table1[RPM]-Table3[[#This Row],[Flow]]/2.405*60*$I$7/$I$11)),ABS(Table1[RPM]-Table3[[#This Row],[Flow]]/2.405*60*$I$7/$I$11),0))*$I$10,0)</f>
        <v>180</v>
      </c>
      <c r="G36" cm="1">
        <f t="array" ref="G36">ROUND(INDEX(Table1[Torque],MATCH(MIN(ABS(Table1[RPM]-Table3[[#This Row],[Flow]]/2.405*60*$J$7/$J$11)),ABS(Table1[RPM]-Table3[[#This Row],[Flow]]/2.405*60*$J$7/$J$11),0))*$J$10,0)</f>
        <v>190</v>
      </c>
      <c r="H36" cm="1">
        <f t="array" ref="H36">ROUND(INDEX(Table1[Torque],MATCH(MIN(ABS(Table1[RPM]-Table3[[#This Row],[Flow]]/2.405*60*$K$7/$K$11)),ABS(Table1[RPM]-Table3[[#This Row],[Flow]]/2.405*60*$K$7/$K$11),0))*$K$10,0)</f>
        <v>84</v>
      </c>
    </row>
    <row r="37" spans="1:8">
      <c r="A37">
        <v>75</v>
      </c>
      <c r="B37" cm="1">
        <f t="array" ref="B37">ROUND(INDEX(Table1[Torque],MATCH(MIN(ABS(Table1[RPM]-Table3[[#This Row],[Flow]]/2.405*60*$B$7/$B$11)),ABS(Table1[RPM]-Table3[[#This Row],[Flow]]/2.405*60*$B$7/$B$11),0))*$B$10,0)</f>
        <v>181</v>
      </c>
      <c r="C37" cm="1">
        <f t="array" ref="C37">ROUND(INDEX(Table1[Torque],MATCH(MIN(ABS(Table1[RPM]-Table3[[#This Row],[Flow]]/2.405*60*$F$7/$F$11)),ABS(Table1[RPM]-Table3[[#This Row],[Flow]]/2.405*60*$F$7/$F$11),0))*$F$10,0)</f>
        <v>180</v>
      </c>
      <c r="D37" cm="1">
        <f t="array" ref="D37">ROUND(INDEX(Table1[Torque],MATCH(MIN(ABS(Table1[RPM]-Table3[[#This Row],[Flow]]/2.405*60*$G$7/$G$11)),ABS(Table1[RPM]-Table3[[#This Row],[Flow]]/2.405*60*$G$7/$G$11),0))*$G$10,0)</f>
        <v>141</v>
      </c>
      <c r="E37" cm="1">
        <f t="array" ref="E37">ROUND(INDEX(Table1[Torque],MATCH(MIN(ABS(Table1[RPM]-Table3[[#This Row],[Flow]]/2.405*60*$H$7/$H$11)),ABS(Table1[RPM]-Table3[[#This Row],[Flow]]/2.405*60*$H$7/$H$11),0))*$H$10,0)</f>
        <v>132</v>
      </c>
      <c r="F37" cm="1">
        <f t="array" ref="F37">ROUND(INDEX(Table1[Torque],MATCH(MIN(ABS(Table1[RPM]-Table3[[#This Row],[Flow]]/2.405*60*$I$7/$I$11)),ABS(Table1[RPM]-Table3[[#This Row],[Flow]]/2.405*60*$I$7/$I$11),0))*$I$10,0)</f>
        <v>180</v>
      </c>
      <c r="G37" cm="1">
        <f t="array" ref="G37">ROUND(INDEX(Table1[Torque],MATCH(MIN(ABS(Table1[RPM]-Table3[[#This Row],[Flow]]/2.405*60*$J$7/$J$11)),ABS(Table1[RPM]-Table3[[#This Row],[Flow]]/2.405*60*$J$7/$J$11),0))*$J$10,0)</f>
        <v>192</v>
      </c>
      <c r="H37" cm="1">
        <f t="array" ref="H37">ROUND(INDEX(Table1[Torque],MATCH(MIN(ABS(Table1[RPM]-Table3[[#This Row],[Flow]]/2.405*60*$K$7/$K$11)),ABS(Table1[RPM]-Table3[[#This Row],[Flow]]/2.405*60*$K$7/$K$11),0))*$K$10,0)</f>
        <v>85</v>
      </c>
    </row>
    <row r="38" spans="1:8">
      <c r="A38">
        <v>80</v>
      </c>
      <c r="B38" cm="1">
        <f t="array" ref="B38">ROUND(INDEX(Table1[Torque],MATCH(MIN(ABS(Table1[RPM]-Table3[[#This Row],[Flow]]/2.405*60*$B$7/$B$11)),ABS(Table1[RPM]-Table3[[#This Row],[Flow]]/2.405*60*$B$7/$B$11),0))*$B$10,0)</f>
        <v>182</v>
      </c>
      <c r="C38" cm="1">
        <f t="array" ref="C38">ROUND(INDEX(Table1[Torque],MATCH(MIN(ABS(Table1[RPM]-Table3[[#This Row],[Flow]]/2.405*60*$F$7/$F$11)),ABS(Table1[RPM]-Table3[[#This Row],[Flow]]/2.405*60*$F$7/$F$11),0))*$F$10,0)</f>
        <v>182</v>
      </c>
      <c r="D38" cm="1">
        <f t="array" ref="D38">ROUND(INDEX(Table1[Torque],MATCH(MIN(ABS(Table1[RPM]-Table3[[#This Row],[Flow]]/2.405*60*$G$7/$G$11)),ABS(Table1[RPM]-Table3[[#This Row],[Flow]]/2.405*60*$G$7/$G$11),0))*$G$10,0)</f>
        <v>142</v>
      </c>
      <c r="E38" cm="1">
        <f t="array" ref="E38">ROUND(INDEX(Table1[Torque],MATCH(MIN(ABS(Table1[RPM]-Table3[[#This Row],[Flow]]/2.405*60*$H$7/$H$11)),ABS(Table1[RPM]-Table3[[#This Row],[Flow]]/2.405*60*$H$7/$H$11),0))*$H$10,0)</f>
        <v>133</v>
      </c>
      <c r="F38" cm="1">
        <f t="array" ref="F38">ROUND(INDEX(Table1[Torque],MATCH(MIN(ABS(Table1[RPM]-Table3[[#This Row],[Flow]]/2.405*60*$I$7/$I$11)),ABS(Table1[RPM]-Table3[[#This Row],[Flow]]/2.405*60*$I$7/$I$11),0))*$I$10,0)</f>
        <v>183</v>
      </c>
      <c r="G38" cm="1">
        <f t="array" ref="G38">ROUND(INDEX(Table1[Torque],MATCH(MIN(ABS(Table1[RPM]-Table3[[#This Row],[Flow]]/2.405*60*$J$7/$J$11)),ABS(Table1[RPM]-Table3[[#This Row],[Flow]]/2.405*60*$J$7/$J$11),0))*$J$10,0)</f>
        <v>191</v>
      </c>
      <c r="H38" cm="1">
        <f t="array" ref="H38">ROUND(INDEX(Table1[Torque],MATCH(MIN(ABS(Table1[RPM]-Table3[[#This Row],[Flow]]/2.405*60*$K$7/$K$11)),ABS(Table1[RPM]-Table3[[#This Row],[Flow]]/2.405*60*$K$7/$K$11),0))*$K$10,0)</f>
        <v>85</v>
      </c>
    </row>
    <row r="39" spans="1:8">
      <c r="A39">
        <v>85</v>
      </c>
      <c r="B39" cm="1">
        <f t="array" ref="B39">ROUND(INDEX(Table1[Torque],MATCH(MIN(ABS(Table1[RPM]-Table3[[#This Row],[Flow]]/2.405*60*$B$7/$B$11)),ABS(Table1[RPM]-Table3[[#This Row],[Flow]]/2.405*60*$B$7/$B$11),0))*$B$10,0)</f>
        <v>180</v>
      </c>
      <c r="C39" cm="1">
        <f t="array" ref="C39">ROUND(INDEX(Table1[Torque],MATCH(MIN(ABS(Table1[RPM]-Table3[[#This Row],[Flow]]/2.405*60*$F$7/$F$11)),ABS(Table1[RPM]-Table3[[#This Row],[Flow]]/2.405*60*$F$7/$F$11),0))*$F$10,0)</f>
        <v>182</v>
      </c>
      <c r="D39" cm="1">
        <f t="array" ref="D39">ROUND(INDEX(Table1[Torque],MATCH(MIN(ABS(Table1[RPM]-Table3[[#This Row],[Flow]]/2.405*60*$G$7/$G$11)),ABS(Table1[RPM]-Table3[[#This Row],[Flow]]/2.405*60*$G$7/$G$11),0))*$G$10,0)</f>
        <v>143</v>
      </c>
      <c r="E39" cm="1">
        <f t="array" ref="E39">ROUND(INDEX(Table1[Torque],MATCH(MIN(ABS(Table1[RPM]-Table3[[#This Row],[Flow]]/2.405*60*$H$7/$H$11)),ABS(Table1[RPM]-Table3[[#This Row],[Flow]]/2.405*60*$H$7/$H$11),0))*$H$10,0)</f>
        <v>134</v>
      </c>
      <c r="F39" cm="1">
        <f t="array" ref="F39">ROUND(INDEX(Table1[Torque],MATCH(MIN(ABS(Table1[RPM]-Table3[[#This Row],[Flow]]/2.405*60*$I$7/$I$11)),ABS(Table1[RPM]-Table3[[#This Row],[Flow]]/2.405*60*$I$7/$I$11),0))*$I$10,0)</f>
        <v>183</v>
      </c>
      <c r="G39" cm="1">
        <f t="array" ref="G39">ROUND(INDEX(Table1[Torque],MATCH(MIN(ABS(Table1[RPM]-Table3[[#This Row],[Flow]]/2.405*60*$J$7/$J$11)),ABS(Table1[RPM]-Table3[[#This Row],[Flow]]/2.405*60*$J$7/$J$11),0))*$J$10,0)</f>
        <v>190</v>
      </c>
      <c r="H39" cm="1">
        <f t="array" ref="H39">ROUND(INDEX(Table1[Torque],MATCH(MIN(ABS(Table1[RPM]-Table3[[#This Row],[Flow]]/2.405*60*$K$7/$K$11)),ABS(Table1[RPM]-Table3[[#This Row],[Flow]]/2.405*60*$K$7/$K$11),0))*$K$10,0)</f>
        <v>86</v>
      </c>
    </row>
    <row r="40" spans="1:8">
      <c r="A40">
        <v>90</v>
      </c>
      <c r="B40" cm="1">
        <f t="array" ref="B40">ROUND(INDEX(Table1[Torque],MATCH(MIN(ABS(Table1[RPM]-Table3[[#This Row],[Flow]]/2.405*60*$B$7/$B$11)),ABS(Table1[RPM]-Table3[[#This Row],[Flow]]/2.405*60*$B$7/$B$11),0))*$B$10,0)</f>
        <v>180</v>
      </c>
      <c r="C40" cm="1">
        <f t="array" ref="C40">ROUND(INDEX(Table1[Torque],MATCH(MIN(ABS(Table1[RPM]-Table3[[#This Row],[Flow]]/2.405*60*$F$7/$F$11)),ABS(Table1[RPM]-Table3[[#This Row],[Flow]]/2.405*60*$F$7/$F$11),0))*$F$10,0)</f>
        <v>181</v>
      </c>
      <c r="D40" cm="1">
        <f t="array" ref="D40">ROUND(INDEX(Table1[Torque],MATCH(MIN(ABS(Table1[RPM]-Table3[[#This Row],[Flow]]/2.405*60*$G$7/$G$11)),ABS(Table1[RPM]-Table3[[#This Row],[Flow]]/2.405*60*$G$7/$G$11),0))*$G$10,0)</f>
        <v>144</v>
      </c>
      <c r="E40" cm="1">
        <f t="array" ref="E40">ROUND(INDEX(Table1[Torque],MATCH(MIN(ABS(Table1[RPM]-Table3[[#This Row],[Flow]]/2.405*60*$H$7/$H$11)),ABS(Table1[RPM]-Table3[[#This Row],[Flow]]/2.405*60*$H$7/$H$11),0))*$H$10,0)</f>
        <v>134</v>
      </c>
      <c r="F40" cm="1">
        <f t="array" ref="F40">ROUND(INDEX(Table1[Torque],MATCH(MIN(ABS(Table1[RPM]-Table3[[#This Row],[Flow]]/2.405*60*$I$7/$I$11)),ABS(Table1[RPM]-Table3[[#This Row],[Flow]]/2.405*60*$I$7/$I$11),0))*$I$10,0)</f>
        <v>182</v>
      </c>
      <c r="G40" cm="1">
        <f t="array" ref="G40">ROUND(INDEX(Table1[Torque],MATCH(MIN(ABS(Table1[RPM]-Table3[[#This Row],[Flow]]/2.405*60*$J$7/$J$11)),ABS(Table1[RPM]-Table3[[#This Row],[Flow]]/2.405*60*$J$7/$J$11),0))*$J$10,0)</f>
        <v>188</v>
      </c>
      <c r="H40" cm="1">
        <f t="array" ref="H40">ROUND(INDEX(Table1[Torque],MATCH(MIN(ABS(Table1[RPM]-Table3[[#This Row],[Flow]]/2.405*60*$K$7/$K$11)),ABS(Table1[RPM]-Table3[[#This Row],[Flow]]/2.405*60*$K$7/$K$11),0))*$K$10,0)</f>
        <v>87</v>
      </c>
    </row>
    <row r="41" spans="1:8">
      <c r="A41">
        <v>95</v>
      </c>
      <c r="B41" cm="1">
        <f t="array" ref="B41">ROUND(INDEX(Table1[Torque],MATCH(MIN(ABS(Table1[RPM]-Table3[[#This Row],[Flow]]/2.405*60*$B$7/$B$11)),ABS(Table1[RPM]-Table3[[#This Row],[Flow]]/2.405*60*$B$7/$B$11),0))*$B$10,0)</f>
        <v>178</v>
      </c>
      <c r="C41" cm="1">
        <f t="array" ref="C41">ROUND(INDEX(Table1[Torque],MATCH(MIN(ABS(Table1[RPM]-Table3[[#This Row],[Flow]]/2.405*60*$F$7/$F$11)),ABS(Table1[RPM]-Table3[[#This Row],[Flow]]/2.405*60*$F$7/$F$11),0))*$F$10,0)</f>
        <v>180</v>
      </c>
      <c r="D41" cm="1">
        <f t="array" ref="D41">ROUND(INDEX(Table1[Torque],MATCH(MIN(ABS(Table1[RPM]-Table3[[#This Row],[Flow]]/2.405*60*$G$7/$G$11)),ABS(Table1[RPM]-Table3[[#This Row],[Flow]]/2.405*60*$G$7/$G$11),0))*$G$10,0)</f>
        <v>144</v>
      </c>
      <c r="E41" cm="1">
        <f t="array" ref="E41">ROUND(INDEX(Table1[Torque],MATCH(MIN(ABS(Table1[RPM]-Table3[[#This Row],[Flow]]/2.405*60*$H$7/$H$11)),ABS(Table1[RPM]-Table3[[#This Row],[Flow]]/2.405*60*$H$7/$H$11),0))*$H$10,0)</f>
        <v>135</v>
      </c>
      <c r="F41" cm="1">
        <f t="array" ref="F41">ROUND(INDEX(Table1[Torque],MATCH(MIN(ABS(Table1[RPM]-Table3[[#This Row],[Flow]]/2.405*60*$I$7/$I$11)),ABS(Table1[RPM]-Table3[[#This Row],[Flow]]/2.405*60*$I$7/$I$11),0))*$I$10,0)</f>
        <v>181</v>
      </c>
      <c r="G41" cm="1">
        <f t="array" ref="G41">ROUND(INDEX(Table1[Torque],MATCH(MIN(ABS(Table1[RPM]-Table3[[#This Row],[Flow]]/2.405*60*$J$7/$J$11)),ABS(Table1[RPM]-Table3[[#This Row],[Flow]]/2.405*60*$J$7/$J$11),0))*$J$10,0)</f>
        <v>185</v>
      </c>
      <c r="H41" cm="1">
        <f t="array" ref="H41">ROUND(INDEX(Table1[Torque],MATCH(MIN(ABS(Table1[RPM]-Table3[[#This Row],[Flow]]/2.405*60*$K$7/$K$11)),ABS(Table1[RPM]-Table3[[#This Row],[Flow]]/2.405*60*$K$7/$K$11),0))*$K$10,0)</f>
        <v>88</v>
      </c>
    </row>
    <row r="42" spans="1:8">
      <c r="A42">
        <v>100</v>
      </c>
      <c r="B42" cm="1">
        <f t="array" ref="B42">ROUND(INDEX(Table1[Torque],MATCH(MIN(ABS(Table1[RPM]-Table3[[#This Row],[Flow]]/2.405*60*$B$7/$B$11)),ABS(Table1[RPM]-Table3[[#This Row],[Flow]]/2.405*60*$B$7/$B$11),0))*$B$10,0)</f>
        <v>176</v>
      </c>
      <c r="C42" cm="1">
        <f t="array" ref="C42">ROUND(INDEX(Table1[Torque],MATCH(MIN(ABS(Table1[RPM]-Table3[[#This Row],[Flow]]/2.405*60*$F$7/$F$11)),ABS(Table1[RPM]-Table3[[#This Row],[Flow]]/2.405*60*$F$7/$F$11),0))*$F$10,0)</f>
        <v>178</v>
      </c>
      <c r="D42" cm="1">
        <f t="array" ref="D42">ROUND(INDEX(Table1[Torque],MATCH(MIN(ABS(Table1[RPM]-Table3[[#This Row],[Flow]]/2.405*60*$G$7/$G$11)),ABS(Table1[RPM]-Table3[[#This Row],[Flow]]/2.405*60*$G$7/$G$11),0))*$G$10,0)</f>
        <v>146</v>
      </c>
      <c r="E42" cm="1">
        <f t="array" ref="E42">ROUND(INDEX(Table1[Torque],MATCH(MIN(ABS(Table1[RPM]-Table3[[#This Row],[Flow]]/2.405*60*$H$7/$H$11)),ABS(Table1[RPM]-Table3[[#This Row],[Flow]]/2.405*60*$H$7/$H$11),0))*$H$10,0)</f>
        <v>135</v>
      </c>
      <c r="F42" cm="1">
        <f t="array" ref="F42">ROUND(INDEX(Table1[Torque],MATCH(MIN(ABS(Table1[RPM]-Table3[[#This Row],[Flow]]/2.405*60*$I$7/$I$11)),ABS(Table1[RPM]-Table3[[#This Row],[Flow]]/2.405*60*$I$7/$I$11),0))*$I$10,0)</f>
        <v>179</v>
      </c>
      <c r="G42" cm="1">
        <f t="array" ref="G42">ROUND(INDEX(Table1[Torque],MATCH(MIN(ABS(Table1[RPM]-Table3[[#This Row],[Flow]]/2.405*60*$J$7/$J$11)),ABS(Table1[RPM]-Table3[[#This Row],[Flow]]/2.405*60*$J$7/$J$11),0))*$J$10,0)</f>
        <v>183</v>
      </c>
      <c r="H42" cm="1">
        <f t="array" ref="H42">ROUND(INDEX(Table1[Torque],MATCH(MIN(ABS(Table1[RPM]-Table3[[#This Row],[Flow]]/2.405*60*$K$7/$K$11)),ABS(Table1[RPM]-Table3[[#This Row],[Flow]]/2.405*60*$K$7/$K$11),0))*$K$10,0)</f>
        <v>88</v>
      </c>
    </row>
    <row r="43" spans="1:8">
      <c r="A43">
        <v>105</v>
      </c>
      <c r="B43" cm="1">
        <f t="array" ref="B43">ROUND(INDEX(Table1[Torque],MATCH(MIN(ABS(Table1[RPM]-Table3[[#This Row],[Flow]]/2.405*60*$B$7/$B$11)),ABS(Table1[RPM]-Table3[[#This Row],[Flow]]/2.405*60*$B$7/$B$11),0))*$B$10,0)</f>
        <v>173</v>
      </c>
      <c r="C43" cm="1">
        <f t="array" ref="C43">ROUND(INDEX(Table1[Torque],MATCH(MIN(ABS(Table1[RPM]-Table3[[#This Row],[Flow]]/2.405*60*$F$7/$F$11)),ABS(Table1[RPM]-Table3[[#This Row],[Flow]]/2.405*60*$F$7/$F$11),0))*$F$10,0)</f>
        <v>177</v>
      </c>
      <c r="D43" cm="1">
        <f t="array" ref="D43">ROUND(INDEX(Table1[Torque],MATCH(MIN(ABS(Table1[RPM]-Table3[[#This Row],[Flow]]/2.405*60*$G$7/$G$11)),ABS(Table1[RPM]-Table3[[#This Row],[Flow]]/2.405*60*$G$7/$G$11),0))*$G$10,0)</f>
        <v>146</v>
      </c>
      <c r="E43" cm="1">
        <f t="array" ref="E43">ROUND(INDEX(Table1[Torque],MATCH(MIN(ABS(Table1[RPM]-Table3[[#This Row],[Flow]]/2.405*60*$H$7/$H$11)),ABS(Table1[RPM]-Table3[[#This Row],[Flow]]/2.405*60*$H$7/$H$11),0))*$H$10,0)</f>
        <v>137</v>
      </c>
      <c r="F43" cm="1">
        <f t="array" ref="F43">ROUND(INDEX(Table1[Torque],MATCH(MIN(ABS(Table1[RPM]-Table3[[#This Row],[Flow]]/2.405*60*$I$7/$I$11)),ABS(Table1[RPM]-Table3[[#This Row],[Flow]]/2.405*60*$I$7/$I$11),0))*$I$10,0)</f>
        <v>176</v>
      </c>
      <c r="G43" cm="1">
        <f t="array" ref="G43">ROUND(INDEX(Table1[Torque],MATCH(MIN(ABS(Table1[RPM]-Table3[[#This Row],[Flow]]/2.405*60*$J$7/$J$11)),ABS(Table1[RPM]-Table3[[#This Row],[Flow]]/2.405*60*$J$7/$J$11),0))*$J$10,0)</f>
        <v>179</v>
      </c>
      <c r="H43" cm="1">
        <f t="array" ref="H43">ROUND(INDEX(Table1[Torque],MATCH(MIN(ABS(Table1[RPM]-Table3[[#This Row],[Flow]]/2.405*60*$K$7/$K$11)),ABS(Table1[RPM]-Table3[[#This Row],[Flow]]/2.405*60*$K$7/$K$11),0))*$K$10,0)</f>
        <v>89</v>
      </c>
    </row>
    <row r="44" spans="1:8">
      <c r="A44">
        <v>110</v>
      </c>
      <c r="B44" cm="1">
        <f t="array" ref="B44">ROUND(INDEX(Table1[Torque],MATCH(MIN(ABS(Table1[RPM]-Table3[[#This Row],[Flow]]/2.405*60*$B$7/$B$11)),ABS(Table1[RPM]-Table3[[#This Row],[Flow]]/2.405*60*$B$7/$B$11),0))*$B$10,0)</f>
        <v>170</v>
      </c>
      <c r="C44" cm="1">
        <f t="array" ref="C44">ROUND(INDEX(Table1[Torque],MATCH(MIN(ABS(Table1[RPM]-Table3[[#This Row],[Flow]]/2.405*60*$F$7/$F$11)),ABS(Table1[RPM]-Table3[[#This Row],[Flow]]/2.405*60*$F$7/$F$11),0))*$F$10,0)</f>
        <v>174</v>
      </c>
      <c r="D44" cm="1">
        <f t="array" ref="D44">ROUND(INDEX(Table1[Torque],MATCH(MIN(ABS(Table1[RPM]-Table3[[#This Row],[Flow]]/2.405*60*$G$7/$G$11)),ABS(Table1[RPM]-Table3[[#This Row],[Flow]]/2.405*60*$G$7/$G$11),0))*$G$10,0)</f>
        <v>145</v>
      </c>
      <c r="E44" cm="1">
        <f t="array" ref="E44">ROUND(INDEX(Table1[Torque],MATCH(MIN(ABS(Table1[RPM]-Table3[[#This Row],[Flow]]/2.405*60*$H$7/$H$11)),ABS(Table1[RPM]-Table3[[#This Row],[Flow]]/2.405*60*$H$7/$H$11),0))*$H$10,0)</f>
        <v>137</v>
      </c>
      <c r="F44" cm="1">
        <f t="array" ref="F44">ROUND(INDEX(Table1[Torque],MATCH(MIN(ABS(Table1[RPM]-Table3[[#This Row],[Flow]]/2.405*60*$I$7/$I$11)),ABS(Table1[RPM]-Table3[[#This Row],[Flow]]/2.405*60*$I$7/$I$11),0))*$I$10,0)</f>
        <v>175</v>
      </c>
      <c r="G44" cm="1">
        <f t="array" ref="G44">ROUND(INDEX(Table1[Torque],MATCH(MIN(ABS(Table1[RPM]-Table3[[#This Row],[Flow]]/2.405*60*$J$7/$J$11)),ABS(Table1[RPM]-Table3[[#This Row],[Flow]]/2.405*60*$J$7/$J$11),0))*$J$10,0)</f>
        <v>175</v>
      </c>
      <c r="H44" cm="1">
        <f t="array" ref="H44">ROUND(INDEX(Table1[Torque],MATCH(MIN(ABS(Table1[RPM]-Table3[[#This Row],[Flow]]/2.405*60*$K$7/$K$11)),ABS(Table1[RPM]-Table3[[#This Row],[Flow]]/2.405*60*$K$7/$K$11),0))*$K$10,0)</f>
        <v>90</v>
      </c>
    </row>
  </sheetData>
  <mergeCells count="5">
    <mergeCell ref="L12:N13"/>
    <mergeCell ref="A1:K1"/>
    <mergeCell ref="L3:N6"/>
    <mergeCell ref="L9:N9"/>
    <mergeCell ref="L8:N8"/>
  </mergeCells>
  <phoneticPr fontId="5" type="noConversion"/>
  <conditionalFormatting sqref="B13:K13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2:K12">
    <cfRule type="cellIs" dxfId="1" priority="8" operator="greaterThan">
      <formula>600</formula>
    </cfRule>
    <cfRule type="cellIs" dxfId="0" priority="9" operator="between">
      <formula>550</formula>
      <formula>600</formula>
    </cfRule>
  </conditionalFormatting>
  <conditionalFormatting sqref="B24:B44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4:C4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4:D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4:E4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4:F4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4:G4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4:H4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A1:K1" r:id="rId1" display="The same methodology is used as in the Annex Engineering's Extruder Force Comparison" xr:uid="{87121F11-B307-463D-82AE-3103D62DF12D}"/>
  </hyperlinks>
  <pageMargins left="0.7" right="0.7" top="0.75" bottom="0.75" header="0.3" footer="0.3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690DA-5C11-49CC-A161-0AD445FA2826}">
  <sheetPr codeName="Sheet2"/>
  <dimension ref="A1:C4"/>
  <sheetViews>
    <sheetView workbookViewId="0">
      <selection activeCell="A5" sqref="A5"/>
    </sheetView>
  </sheetViews>
  <sheetFormatPr defaultRowHeight="14.25"/>
  <cols>
    <col min="1" max="2" width="12.375" bestFit="1" customWidth="1"/>
  </cols>
  <sheetData>
    <row r="1" spans="1:3">
      <c r="A1" t="s">
        <v>33</v>
      </c>
      <c r="B1" t="s">
        <v>34</v>
      </c>
      <c r="C1" t="s">
        <v>35</v>
      </c>
    </row>
    <row r="2" spans="1:3">
      <c r="A2">
        <v>17</v>
      </c>
      <c r="B2">
        <v>36</v>
      </c>
      <c r="C2">
        <f>0.5*(B2+A2)/2</f>
        <v>13.25</v>
      </c>
    </row>
    <row r="3" spans="1:3">
      <c r="A3">
        <v>36</v>
      </c>
      <c r="B3">
        <v>36</v>
      </c>
      <c r="C3">
        <f>0.5*(B3+A3)/2</f>
        <v>18</v>
      </c>
    </row>
    <row r="4" spans="1:3">
      <c r="A4">
        <v>6</v>
      </c>
      <c r="B4">
        <v>44</v>
      </c>
      <c r="C4">
        <f>0.5*(B4+A4)/2</f>
        <v>12.5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319C0-957A-4379-A72A-0562F432B004}">
  <sheetPr codeName="Sheet3"/>
  <dimension ref="A1:G183"/>
  <sheetViews>
    <sheetView workbookViewId="0">
      <selection activeCell="D4" sqref="D4"/>
    </sheetView>
  </sheetViews>
  <sheetFormatPr defaultRowHeight="14.25"/>
  <cols>
    <col min="2" max="2" width="14.625" customWidth="1"/>
  </cols>
  <sheetData>
    <row r="1" spans="1:2">
      <c r="A1" s="12" t="s">
        <v>45</v>
      </c>
      <c r="B1" s="12"/>
    </row>
    <row r="2" spans="1:2">
      <c r="A2" t="s">
        <v>9</v>
      </c>
      <c r="B2" t="s">
        <v>11</v>
      </c>
    </row>
    <row r="3" spans="1:2">
      <c r="A3">
        <v>0</v>
      </c>
      <c r="B3">
        <v>95</v>
      </c>
    </row>
    <row r="4" spans="1:2">
      <c r="A4">
        <v>10</v>
      </c>
      <c r="B4">
        <v>95</v>
      </c>
    </row>
    <row r="5" spans="1:2">
      <c r="A5">
        <v>20</v>
      </c>
      <c r="B5">
        <v>95</v>
      </c>
    </row>
    <row r="6" spans="1:2">
      <c r="A6">
        <v>30</v>
      </c>
      <c r="B6">
        <v>95</v>
      </c>
    </row>
    <row r="7" spans="1:2">
      <c r="A7">
        <v>40</v>
      </c>
      <c r="B7">
        <v>95</v>
      </c>
    </row>
    <row r="8" spans="1:2">
      <c r="A8">
        <v>50</v>
      </c>
      <c r="B8">
        <v>95</v>
      </c>
    </row>
    <row r="9" spans="1:2">
      <c r="A9">
        <v>60</v>
      </c>
      <c r="B9">
        <v>95</v>
      </c>
    </row>
    <row r="10" spans="1:2">
      <c r="A10">
        <v>70</v>
      </c>
      <c r="B10">
        <v>95</v>
      </c>
    </row>
    <row r="11" spans="1:2">
      <c r="A11">
        <v>80</v>
      </c>
      <c r="B11">
        <v>95</v>
      </c>
    </row>
    <row r="12" spans="1:2">
      <c r="A12">
        <v>90</v>
      </c>
      <c r="B12">
        <v>95</v>
      </c>
    </row>
    <row r="13" spans="1:2">
      <c r="A13">
        <v>100</v>
      </c>
      <c r="B13">
        <v>95</v>
      </c>
    </row>
    <row r="14" spans="1:2">
      <c r="A14">
        <v>110</v>
      </c>
      <c r="B14">
        <v>95.4</v>
      </c>
    </row>
    <row r="15" spans="1:2">
      <c r="A15">
        <v>120</v>
      </c>
      <c r="B15">
        <v>95.8</v>
      </c>
    </row>
    <row r="16" spans="1:2">
      <c r="A16">
        <v>130</v>
      </c>
      <c r="B16">
        <v>96.2</v>
      </c>
    </row>
    <row r="17" spans="1:7">
      <c r="A17">
        <v>140</v>
      </c>
      <c r="B17">
        <v>96.6</v>
      </c>
    </row>
    <row r="18" spans="1:7">
      <c r="A18">
        <v>150</v>
      </c>
      <c r="B18">
        <v>97</v>
      </c>
    </row>
    <row r="19" spans="1:7">
      <c r="A19">
        <v>160</v>
      </c>
      <c r="B19">
        <v>97.6</v>
      </c>
    </row>
    <row r="20" spans="1:7">
      <c r="A20">
        <v>170</v>
      </c>
      <c r="B20">
        <v>98.2</v>
      </c>
    </row>
    <row r="21" spans="1:7">
      <c r="A21">
        <v>180</v>
      </c>
      <c r="B21">
        <v>98.8</v>
      </c>
    </row>
    <row r="22" spans="1:7">
      <c r="A22">
        <v>190</v>
      </c>
      <c r="B22">
        <v>99.4</v>
      </c>
    </row>
    <row r="23" spans="1:7">
      <c r="A23">
        <v>200</v>
      </c>
      <c r="B23">
        <v>100</v>
      </c>
    </row>
    <row r="24" spans="1:7">
      <c r="A24">
        <v>210</v>
      </c>
      <c r="B24">
        <v>100.6</v>
      </c>
    </row>
    <row r="25" spans="1:7">
      <c r="A25">
        <v>220</v>
      </c>
      <c r="B25">
        <v>101.2</v>
      </c>
    </row>
    <row r="26" spans="1:7">
      <c r="A26">
        <v>230</v>
      </c>
      <c r="B26">
        <v>101.8</v>
      </c>
    </row>
    <row r="27" spans="1:7">
      <c r="A27">
        <v>240</v>
      </c>
      <c r="B27">
        <v>102.4</v>
      </c>
      <c r="G27" t="s">
        <v>38</v>
      </c>
    </row>
    <row r="28" spans="1:7">
      <c r="A28">
        <v>250</v>
      </c>
      <c r="B28">
        <v>103</v>
      </c>
    </row>
    <row r="29" spans="1:7">
      <c r="A29">
        <v>260</v>
      </c>
      <c r="B29">
        <v>103.4</v>
      </c>
    </row>
    <row r="30" spans="1:7">
      <c r="A30">
        <v>270</v>
      </c>
      <c r="B30">
        <v>103.8</v>
      </c>
    </row>
    <row r="31" spans="1:7">
      <c r="A31">
        <v>280</v>
      </c>
      <c r="B31">
        <v>104.2</v>
      </c>
    </row>
    <row r="32" spans="1:7">
      <c r="A32">
        <v>290</v>
      </c>
      <c r="B32">
        <v>104.6</v>
      </c>
    </row>
    <row r="33" spans="1:2">
      <c r="A33">
        <v>300</v>
      </c>
      <c r="B33">
        <v>105</v>
      </c>
    </row>
    <row r="34" spans="1:2">
      <c r="A34">
        <v>310</v>
      </c>
      <c r="B34">
        <v>105.6</v>
      </c>
    </row>
    <row r="35" spans="1:2">
      <c r="A35">
        <v>320</v>
      </c>
      <c r="B35">
        <v>106.2</v>
      </c>
    </row>
    <row r="36" spans="1:2">
      <c r="A36">
        <v>330</v>
      </c>
      <c r="B36">
        <v>106.8</v>
      </c>
    </row>
    <row r="37" spans="1:2">
      <c r="A37">
        <v>340</v>
      </c>
      <c r="B37">
        <v>107.4</v>
      </c>
    </row>
    <row r="38" spans="1:2">
      <c r="A38">
        <v>350</v>
      </c>
      <c r="B38">
        <v>108</v>
      </c>
    </row>
    <row r="39" spans="1:2">
      <c r="A39">
        <v>360</v>
      </c>
      <c r="B39">
        <v>108.4</v>
      </c>
    </row>
    <row r="40" spans="1:2">
      <c r="A40">
        <v>370</v>
      </c>
      <c r="B40">
        <v>108.8</v>
      </c>
    </row>
    <row r="41" spans="1:2">
      <c r="A41">
        <v>380</v>
      </c>
      <c r="B41">
        <v>109.2</v>
      </c>
    </row>
    <row r="42" spans="1:2">
      <c r="A42">
        <v>390</v>
      </c>
      <c r="B42">
        <v>109.6</v>
      </c>
    </row>
    <row r="43" spans="1:2">
      <c r="A43">
        <v>400</v>
      </c>
      <c r="B43">
        <v>110</v>
      </c>
    </row>
    <row r="44" spans="1:2">
      <c r="A44">
        <v>410</v>
      </c>
      <c r="B44">
        <v>110.2</v>
      </c>
    </row>
    <row r="45" spans="1:2">
      <c r="A45">
        <v>420</v>
      </c>
      <c r="B45">
        <v>110.4</v>
      </c>
    </row>
    <row r="46" spans="1:2">
      <c r="A46">
        <v>430</v>
      </c>
      <c r="B46">
        <v>110.6</v>
      </c>
    </row>
    <row r="47" spans="1:2">
      <c r="A47">
        <v>440</v>
      </c>
      <c r="B47">
        <v>110.8</v>
      </c>
    </row>
    <row r="48" spans="1:2">
      <c r="A48">
        <v>450</v>
      </c>
      <c r="B48">
        <v>111</v>
      </c>
    </row>
    <row r="49" spans="1:2">
      <c r="A49">
        <v>460</v>
      </c>
      <c r="B49">
        <v>111.4</v>
      </c>
    </row>
    <row r="50" spans="1:2">
      <c r="A50">
        <v>470</v>
      </c>
      <c r="B50">
        <v>111.8</v>
      </c>
    </row>
    <row r="51" spans="1:2">
      <c r="A51">
        <v>480</v>
      </c>
      <c r="B51">
        <v>112.2</v>
      </c>
    </row>
    <row r="52" spans="1:2">
      <c r="A52">
        <v>490</v>
      </c>
      <c r="B52">
        <v>112.6</v>
      </c>
    </row>
    <row r="53" spans="1:2">
      <c r="A53">
        <v>500</v>
      </c>
      <c r="B53">
        <v>112</v>
      </c>
    </row>
    <row r="54" spans="1:2">
      <c r="A54">
        <v>510</v>
      </c>
      <c r="B54">
        <v>112.4</v>
      </c>
    </row>
    <row r="55" spans="1:2">
      <c r="A55">
        <v>520</v>
      </c>
      <c r="B55">
        <v>112.8</v>
      </c>
    </row>
    <row r="56" spans="1:2">
      <c r="A56">
        <v>530</v>
      </c>
      <c r="B56">
        <v>113.2</v>
      </c>
    </row>
    <row r="57" spans="1:2">
      <c r="A57">
        <v>540</v>
      </c>
      <c r="B57">
        <v>113.6</v>
      </c>
    </row>
    <row r="58" spans="1:2">
      <c r="A58">
        <v>550</v>
      </c>
      <c r="B58">
        <v>114</v>
      </c>
    </row>
    <row r="59" spans="1:2">
      <c r="A59">
        <v>560</v>
      </c>
      <c r="B59">
        <v>113.8</v>
      </c>
    </row>
    <row r="60" spans="1:2">
      <c r="A60">
        <v>570</v>
      </c>
      <c r="B60">
        <v>113.6</v>
      </c>
    </row>
    <row r="61" spans="1:2">
      <c r="A61">
        <v>580</v>
      </c>
      <c r="B61">
        <v>113.4</v>
      </c>
    </row>
    <row r="62" spans="1:2">
      <c r="A62">
        <v>590</v>
      </c>
      <c r="B62">
        <v>113.2</v>
      </c>
    </row>
    <row r="63" spans="1:2">
      <c r="A63">
        <v>600</v>
      </c>
      <c r="B63">
        <v>113</v>
      </c>
    </row>
    <row r="64" spans="1:2">
      <c r="A64">
        <v>610</v>
      </c>
      <c r="B64">
        <v>112.8</v>
      </c>
    </row>
    <row r="65" spans="1:2">
      <c r="A65">
        <v>620</v>
      </c>
      <c r="B65">
        <v>112.6</v>
      </c>
    </row>
    <row r="66" spans="1:2">
      <c r="A66">
        <v>630</v>
      </c>
      <c r="B66">
        <v>112.4</v>
      </c>
    </row>
    <row r="67" spans="1:2">
      <c r="A67">
        <v>640</v>
      </c>
      <c r="B67">
        <v>112.2</v>
      </c>
    </row>
    <row r="68" spans="1:2">
      <c r="A68">
        <v>650</v>
      </c>
      <c r="B68">
        <v>112</v>
      </c>
    </row>
    <row r="69" spans="1:2">
      <c r="A69">
        <v>660</v>
      </c>
      <c r="B69">
        <v>111.6</v>
      </c>
    </row>
    <row r="70" spans="1:2">
      <c r="A70">
        <v>670</v>
      </c>
      <c r="B70">
        <v>111.2</v>
      </c>
    </row>
    <row r="71" spans="1:2">
      <c r="A71">
        <v>680</v>
      </c>
      <c r="B71">
        <v>110.8</v>
      </c>
    </row>
    <row r="72" spans="1:2">
      <c r="A72">
        <v>690</v>
      </c>
      <c r="B72">
        <v>110.4</v>
      </c>
    </row>
    <row r="73" spans="1:2">
      <c r="A73">
        <v>700</v>
      </c>
      <c r="B73">
        <v>110</v>
      </c>
    </row>
    <row r="74" spans="1:2">
      <c r="A74">
        <v>710</v>
      </c>
      <c r="B74">
        <v>109.6</v>
      </c>
    </row>
    <row r="75" spans="1:2">
      <c r="A75">
        <v>720</v>
      </c>
      <c r="B75">
        <v>109.2</v>
      </c>
    </row>
    <row r="76" spans="1:2">
      <c r="A76">
        <v>730</v>
      </c>
      <c r="B76">
        <v>108.8</v>
      </c>
    </row>
    <row r="77" spans="1:2">
      <c r="A77">
        <v>740</v>
      </c>
      <c r="B77">
        <v>108.4</v>
      </c>
    </row>
    <row r="78" spans="1:2">
      <c r="A78">
        <v>750</v>
      </c>
      <c r="B78">
        <v>108</v>
      </c>
    </row>
    <row r="79" spans="1:2">
      <c r="A79">
        <v>760</v>
      </c>
      <c r="B79">
        <v>107.4</v>
      </c>
    </row>
    <row r="80" spans="1:2">
      <c r="A80">
        <v>770</v>
      </c>
      <c r="B80">
        <v>106.8</v>
      </c>
    </row>
    <row r="81" spans="1:2">
      <c r="A81">
        <v>780</v>
      </c>
      <c r="B81">
        <v>106.2</v>
      </c>
    </row>
    <row r="82" spans="1:2">
      <c r="A82">
        <v>790</v>
      </c>
      <c r="B82">
        <v>105.6</v>
      </c>
    </row>
    <row r="83" spans="1:2">
      <c r="A83">
        <v>800</v>
      </c>
      <c r="B83">
        <v>105</v>
      </c>
    </row>
    <row r="84" spans="1:2">
      <c r="A84">
        <v>810</v>
      </c>
      <c r="B84">
        <v>104.4</v>
      </c>
    </row>
    <row r="85" spans="1:2">
      <c r="A85">
        <v>820</v>
      </c>
      <c r="B85">
        <v>103.8</v>
      </c>
    </row>
    <row r="86" spans="1:2">
      <c r="A86">
        <v>830</v>
      </c>
      <c r="B86">
        <v>103.2</v>
      </c>
    </row>
    <row r="87" spans="1:2">
      <c r="A87">
        <v>840</v>
      </c>
      <c r="B87">
        <v>102.6</v>
      </c>
    </row>
    <row r="88" spans="1:2">
      <c r="A88">
        <v>850</v>
      </c>
      <c r="B88">
        <v>102</v>
      </c>
    </row>
    <row r="89" spans="1:2">
      <c r="A89">
        <v>860</v>
      </c>
      <c r="B89">
        <v>101.2</v>
      </c>
    </row>
    <row r="90" spans="1:2">
      <c r="A90">
        <v>870</v>
      </c>
      <c r="B90">
        <v>100.4</v>
      </c>
    </row>
    <row r="91" spans="1:2">
      <c r="A91">
        <v>880</v>
      </c>
      <c r="B91">
        <v>99.6</v>
      </c>
    </row>
    <row r="92" spans="1:2">
      <c r="A92">
        <v>890</v>
      </c>
      <c r="B92">
        <v>98.8</v>
      </c>
    </row>
    <row r="93" spans="1:2">
      <c r="A93">
        <v>900</v>
      </c>
      <c r="B93">
        <v>98</v>
      </c>
    </row>
    <row r="94" spans="1:2">
      <c r="A94">
        <v>910</v>
      </c>
      <c r="B94">
        <v>97.2</v>
      </c>
    </row>
    <row r="95" spans="1:2">
      <c r="A95">
        <v>920</v>
      </c>
      <c r="B95">
        <v>96.4</v>
      </c>
    </row>
    <row r="96" spans="1:2">
      <c r="A96">
        <v>930</v>
      </c>
      <c r="B96">
        <v>95.6</v>
      </c>
    </row>
    <row r="97" spans="1:2">
      <c r="A97">
        <v>940</v>
      </c>
      <c r="B97">
        <v>94.8</v>
      </c>
    </row>
    <row r="98" spans="1:2">
      <c r="A98">
        <v>950</v>
      </c>
      <c r="B98">
        <v>94</v>
      </c>
    </row>
    <row r="99" spans="1:2">
      <c r="A99">
        <v>960</v>
      </c>
      <c r="B99">
        <v>93.2</v>
      </c>
    </row>
    <row r="100" spans="1:2">
      <c r="A100">
        <v>970</v>
      </c>
      <c r="B100">
        <v>92.4</v>
      </c>
    </row>
    <row r="101" spans="1:2">
      <c r="A101">
        <v>980</v>
      </c>
      <c r="B101">
        <v>91.6</v>
      </c>
    </row>
    <row r="102" spans="1:2">
      <c r="A102">
        <v>990</v>
      </c>
      <c r="B102">
        <v>90.8</v>
      </c>
    </row>
    <row r="103" spans="1:2">
      <c r="A103">
        <v>1000</v>
      </c>
      <c r="B103">
        <v>90</v>
      </c>
    </row>
    <row r="104" spans="1:2">
      <c r="A104">
        <v>1010</v>
      </c>
      <c r="B104">
        <v>89.4</v>
      </c>
    </row>
    <row r="105" spans="1:2">
      <c r="A105">
        <v>1020</v>
      </c>
      <c r="B105">
        <v>88.8</v>
      </c>
    </row>
    <row r="106" spans="1:2">
      <c r="A106">
        <v>1030</v>
      </c>
      <c r="B106">
        <v>88.2</v>
      </c>
    </row>
    <row r="107" spans="1:2">
      <c r="A107">
        <v>1040</v>
      </c>
      <c r="B107">
        <v>87.6</v>
      </c>
    </row>
    <row r="108" spans="1:2">
      <c r="A108">
        <v>1050</v>
      </c>
      <c r="B108">
        <v>87</v>
      </c>
    </row>
    <row r="109" spans="1:2">
      <c r="A109">
        <v>1060</v>
      </c>
      <c r="B109">
        <v>86.2</v>
      </c>
    </row>
    <row r="110" spans="1:2">
      <c r="A110">
        <v>1070</v>
      </c>
      <c r="B110">
        <v>85.4</v>
      </c>
    </row>
    <row r="111" spans="1:2">
      <c r="A111">
        <v>1080</v>
      </c>
      <c r="B111">
        <v>84.6</v>
      </c>
    </row>
    <row r="112" spans="1:2">
      <c r="A112">
        <v>1090</v>
      </c>
      <c r="B112">
        <v>83.8</v>
      </c>
    </row>
    <row r="113" spans="1:2">
      <c r="A113">
        <v>1100</v>
      </c>
      <c r="B113">
        <v>83</v>
      </c>
    </row>
    <row r="114" spans="1:2">
      <c r="A114">
        <v>1110</v>
      </c>
      <c r="B114">
        <v>82.6</v>
      </c>
    </row>
    <row r="115" spans="1:2">
      <c r="A115">
        <v>1120</v>
      </c>
      <c r="B115">
        <v>82.2</v>
      </c>
    </row>
    <row r="116" spans="1:2">
      <c r="A116">
        <v>1130</v>
      </c>
      <c r="B116">
        <v>81.8</v>
      </c>
    </row>
    <row r="117" spans="1:2">
      <c r="A117">
        <v>1140</v>
      </c>
      <c r="B117">
        <v>81.400000000000006</v>
      </c>
    </row>
    <row r="118" spans="1:2">
      <c r="A118">
        <v>1150</v>
      </c>
      <c r="B118">
        <v>81</v>
      </c>
    </row>
    <row r="119" spans="1:2">
      <c r="A119">
        <v>1160</v>
      </c>
      <c r="B119">
        <v>80.400000000000006</v>
      </c>
    </row>
    <row r="120" spans="1:2">
      <c r="A120">
        <v>1170</v>
      </c>
      <c r="B120">
        <v>79.8</v>
      </c>
    </row>
    <row r="121" spans="1:2">
      <c r="A121">
        <v>1180</v>
      </c>
      <c r="B121">
        <v>79.2</v>
      </c>
    </row>
    <row r="122" spans="1:2">
      <c r="A122">
        <v>1190</v>
      </c>
      <c r="B122">
        <v>78.599999999999994</v>
      </c>
    </row>
    <row r="123" spans="1:2">
      <c r="A123">
        <v>1200</v>
      </c>
      <c r="B123">
        <v>78</v>
      </c>
    </row>
    <row r="124" spans="1:2">
      <c r="A124">
        <v>1210</v>
      </c>
      <c r="B124">
        <v>77.599999999999994</v>
      </c>
    </row>
    <row r="125" spans="1:2">
      <c r="A125">
        <v>1220</v>
      </c>
      <c r="B125">
        <v>77.2</v>
      </c>
    </row>
    <row r="126" spans="1:2">
      <c r="A126">
        <v>1230</v>
      </c>
      <c r="B126">
        <v>76.8</v>
      </c>
    </row>
    <row r="127" spans="1:2">
      <c r="A127">
        <v>1240</v>
      </c>
      <c r="B127">
        <v>76.400000000000006</v>
      </c>
    </row>
    <row r="128" spans="1:2">
      <c r="A128">
        <v>1250</v>
      </c>
      <c r="B128">
        <v>76</v>
      </c>
    </row>
    <row r="129" spans="1:2">
      <c r="A129">
        <v>1260</v>
      </c>
      <c r="B129">
        <v>75.400000000000006</v>
      </c>
    </row>
    <row r="130" spans="1:2">
      <c r="A130">
        <v>1270</v>
      </c>
      <c r="B130">
        <v>74.8</v>
      </c>
    </row>
    <row r="131" spans="1:2">
      <c r="A131">
        <v>1280</v>
      </c>
      <c r="B131">
        <v>74.2</v>
      </c>
    </row>
    <row r="132" spans="1:2">
      <c r="A132">
        <v>1290</v>
      </c>
      <c r="B132">
        <v>73.599999999999994</v>
      </c>
    </row>
    <row r="133" spans="1:2">
      <c r="A133">
        <v>1300</v>
      </c>
      <c r="B133">
        <v>73</v>
      </c>
    </row>
    <row r="134" spans="1:2">
      <c r="A134">
        <v>1310</v>
      </c>
      <c r="B134">
        <v>72.599999999999994</v>
      </c>
    </row>
    <row r="135" spans="1:2">
      <c r="A135">
        <v>1320</v>
      </c>
      <c r="B135">
        <v>72.2</v>
      </c>
    </row>
    <row r="136" spans="1:2">
      <c r="A136">
        <v>1330</v>
      </c>
      <c r="B136">
        <v>71.8</v>
      </c>
    </row>
    <row r="137" spans="1:2">
      <c r="A137">
        <v>1340</v>
      </c>
      <c r="B137">
        <v>71.400000000000006</v>
      </c>
    </row>
    <row r="138" spans="1:2">
      <c r="A138">
        <v>1350</v>
      </c>
      <c r="B138">
        <v>71</v>
      </c>
    </row>
    <row r="139" spans="1:2">
      <c r="A139">
        <v>1360</v>
      </c>
      <c r="B139">
        <v>70.2</v>
      </c>
    </row>
    <row r="140" spans="1:2">
      <c r="A140">
        <v>1370</v>
      </c>
      <c r="B140">
        <v>69.400000000000006</v>
      </c>
    </row>
    <row r="141" spans="1:2">
      <c r="A141">
        <v>1380</v>
      </c>
      <c r="B141">
        <v>68.599999999999994</v>
      </c>
    </row>
    <row r="142" spans="1:2">
      <c r="A142">
        <v>1390</v>
      </c>
      <c r="B142">
        <v>67.8</v>
      </c>
    </row>
    <row r="143" spans="1:2">
      <c r="A143">
        <v>1400</v>
      </c>
      <c r="B143">
        <v>67</v>
      </c>
    </row>
    <row r="144" spans="1:2">
      <c r="A144">
        <v>1410</v>
      </c>
      <c r="B144">
        <v>66.2</v>
      </c>
    </row>
    <row r="145" spans="1:2">
      <c r="A145">
        <v>1420</v>
      </c>
      <c r="B145">
        <v>65.400000000000006</v>
      </c>
    </row>
    <row r="146" spans="1:2">
      <c r="A146">
        <v>1430</v>
      </c>
      <c r="B146">
        <v>64.599999999999994</v>
      </c>
    </row>
    <row r="147" spans="1:2">
      <c r="A147">
        <v>1440</v>
      </c>
      <c r="B147">
        <v>63.8</v>
      </c>
    </row>
    <row r="148" spans="1:2">
      <c r="A148">
        <v>1450</v>
      </c>
      <c r="B148">
        <v>63</v>
      </c>
    </row>
    <row r="149" spans="1:2">
      <c r="A149">
        <v>1460</v>
      </c>
      <c r="B149">
        <v>62.2</v>
      </c>
    </row>
    <row r="150" spans="1:2">
      <c r="A150">
        <v>1470</v>
      </c>
      <c r="B150">
        <v>61.4</v>
      </c>
    </row>
    <row r="151" spans="1:2">
      <c r="A151">
        <v>1480</v>
      </c>
      <c r="B151">
        <v>60.6</v>
      </c>
    </row>
    <row r="152" spans="1:2">
      <c r="A152">
        <v>1490</v>
      </c>
      <c r="B152">
        <v>59.8</v>
      </c>
    </row>
    <row r="153" spans="1:2">
      <c r="A153">
        <v>1500</v>
      </c>
      <c r="B153">
        <v>59</v>
      </c>
    </row>
    <row r="154" spans="1:2">
      <c r="A154">
        <v>1510</v>
      </c>
      <c r="B154">
        <v>58.2</v>
      </c>
    </row>
    <row r="155" spans="1:2">
      <c r="A155">
        <v>1520</v>
      </c>
      <c r="B155">
        <v>57.4</v>
      </c>
    </row>
    <row r="156" spans="1:2">
      <c r="A156">
        <v>1530</v>
      </c>
      <c r="B156">
        <v>56.6</v>
      </c>
    </row>
    <row r="157" spans="1:2">
      <c r="A157">
        <v>1540</v>
      </c>
      <c r="B157">
        <v>55.8</v>
      </c>
    </row>
    <row r="158" spans="1:2">
      <c r="A158">
        <v>1550</v>
      </c>
      <c r="B158">
        <v>55</v>
      </c>
    </row>
    <row r="159" spans="1:2">
      <c r="A159">
        <v>1560</v>
      </c>
      <c r="B159">
        <v>54.2</v>
      </c>
    </row>
    <row r="160" spans="1:2">
      <c r="A160">
        <v>1570</v>
      </c>
      <c r="B160">
        <v>53.4</v>
      </c>
    </row>
    <row r="161" spans="1:2">
      <c r="A161">
        <v>1580</v>
      </c>
      <c r="B161">
        <v>52.6</v>
      </c>
    </row>
    <row r="162" spans="1:2">
      <c r="A162">
        <v>1590</v>
      </c>
      <c r="B162">
        <v>51.8</v>
      </c>
    </row>
    <row r="163" spans="1:2">
      <c r="A163">
        <v>1600</v>
      </c>
      <c r="B163">
        <v>51</v>
      </c>
    </row>
    <row r="164" spans="1:2">
      <c r="A164">
        <v>1610</v>
      </c>
      <c r="B164">
        <v>50.4</v>
      </c>
    </row>
    <row r="165" spans="1:2">
      <c r="A165">
        <v>1620</v>
      </c>
      <c r="B165">
        <v>49.8</v>
      </c>
    </row>
    <row r="166" spans="1:2">
      <c r="A166">
        <v>1630</v>
      </c>
      <c r="B166">
        <v>49.2</v>
      </c>
    </row>
    <row r="167" spans="1:2">
      <c r="A167">
        <v>1640</v>
      </c>
      <c r="B167">
        <v>48.6</v>
      </c>
    </row>
    <row r="168" spans="1:2">
      <c r="A168">
        <v>1650</v>
      </c>
      <c r="B168">
        <v>48</v>
      </c>
    </row>
    <row r="169" spans="1:2">
      <c r="A169">
        <v>1660</v>
      </c>
      <c r="B169">
        <v>47.2</v>
      </c>
    </row>
    <row r="170" spans="1:2">
      <c r="A170">
        <v>1670</v>
      </c>
      <c r="B170">
        <v>46.4</v>
      </c>
    </row>
    <row r="171" spans="1:2">
      <c r="A171">
        <v>1680</v>
      </c>
      <c r="B171">
        <v>45.6</v>
      </c>
    </row>
    <row r="172" spans="1:2">
      <c r="A172">
        <v>1690</v>
      </c>
      <c r="B172">
        <v>44.8</v>
      </c>
    </row>
    <row r="173" spans="1:2">
      <c r="A173">
        <v>1700</v>
      </c>
      <c r="B173">
        <v>44</v>
      </c>
    </row>
    <row r="174" spans="1:2">
      <c r="A174">
        <v>1710</v>
      </c>
      <c r="B174">
        <v>43.2</v>
      </c>
    </row>
    <row r="175" spans="1:2">
      <c r="A175">
        <v>1720</v>
      </c>
      <c r="B175">
        <v>42.4</v>
      </c>
    </row>
    <row r="176" spans="1:2">
      <c r="A176">
        <v>1730</v>
      </c>
      <c r="B176">
        <v>41.6</v>
      </c>
    </row>
    <row r="177" spans="1:2">
      <c r="A177">
        <v>1740</v>
      </c>
      <c r="B177">
        <v>40.799999999999997</v>
      </c>
    </row>
    <row r="178" spans="1:2">
      <c r="A178">
        <v>1750</v>
      </c>
      <c r="B178">
        <v>40</v>
      </c>
    </row>
    <row r="179" spans="1:2">
      <c r="A179">
        <v>1760</v>
      </c>
      <c r="B179">
        <v>39.200000000000003</v>
      </c>
    </row>
    <row r="180" spans="1:2">
      <c r="A180">
        <v>1770</v>
      </c>
      <c r="B180">
        <v>38.4</v>
      </c>
    </row>
    <row r="181" spans="1:2">
      <c r="A181">
        <v>1780</v>
      </c>
      <c r="B181">
        <v>37.6</v>
      </c>
    </row>
    <row r="182" spans="1:2">
      <c r="A182">
        <v>1790</v>
      </c>
      <c r="B182">
        <v>36.799999999999997</v>
      </c>
    </row>
    <row r="183" spans="1:2">
      <c r="A183">
        <v>1800</v>
      </c>
      <c r="B183">
        <v>36</v>
      </c>
    </row>
  </sheetData>
  <mergeCells count="1">
    <mergeCell ref="A1:B1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Calculations</vt:lpstr>
      <vt:lpstr>Gear Calculator</vt:lpstr>
      <vt:lpstr>Torque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Volodymyr Gubanovych</dc:creator>
  <cp:lastModifiedBy>Volodymyr Gubanovych</cp:lastModifiedBy>
  <dcterms:created xsi:type="dcterms:W3CDTF">2025-11-19T11:31:54Z</dcterms:created>
  <dcterms:modified xsi:type="dcterms:W3CDTF">2025-12-02T17:12:48Z</dcterms:modified>
</cp:coreProperties>
</file>