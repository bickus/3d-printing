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Voron\"/>
    </mc:Choice>
  </mc:AlternateContent>
  <xr:revisionPtr revIDLastSave="0" documentId="13_ncr:1_{FC56B1F4-B7EA-4050-B114-EBF188BDC0A6}" xr6:coauthVersionLast="47" xr6:coauthVersionMax="47" xr10:uidLastSave="{00000000-0000-0000-0000-000000000000}"/>
  <bookViews>
    <workbookView xWindow="-120" yWindow="-120" windowWidth="38640" windowHeight="21120" activeTab="1" xr2:uid="{4E23AFD2-F618-43A8-B47B-65FFC6E642DF}"/>
  </bookViews>
  <sheets>
    <sheet name="Power (2)" sheetId="33" state="hidden" r:id="rId1"/>
    <sheet name="UI" sheetId="30" r:id="rId2"/>
    <sheet name="Curves" sheetId="35" r:id="rId3"/>
    <sheet name="Torque" sheetId="31" r:id="rId4"/>
    <sheet name="Power" sheetId="32" state="hidden" r:id="rId5"/>
    <sheet name="Motor Database" sheetId="29" r:id="rId6"/>
    <sheet name="Calculation Reference" sheetId="34" r:id="rId7"/>
    <sheet name="Chart1" sheetId="4" state="hidden" r:id="rId8"/>
  </sheets>
  <functionGroups builtInGroupCount="19"/>
  <definedNames>
    <definedName name="_xlnm._FilterDatabase" localSheetId="5" hidden="1">'Motor Database'!$A$2:$N$71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30" l="1"/>
  <c r="H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I76" i="29"/>
  <c r="C5" i="30"/>
  <c r="I75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Q5" i="29"/>
  <c r="A52" i="29" l="1"/>
  <c r="A51" i="29"/>
  <c r="A50" i="29"/>
  <c r="A49" i="29"/>
  <c r="A9" i="29"/>
  <c r="A10" i="29"/>
  <c r="A11" i="29"/>
  <c r="A12" i="29"/>
  <c r="A13" i="29"/>
  <c r="A14" i="29"/>
  <c r="A15" i="29"/>
  <c r="A16" i="29"/>
  <c r="A17" i="29"/>
  <c r="A18" i="29"/>
  <c r="A19" i="29"/>
  <c r="H19" i="29"/>
  <c r="A20" i="29"/>
  <c r="A21" i="29"/>
  <c r="A22" i="29"/>
  <c r="A23" i="29"/>
  <c r="A24" i="29"/>
  <c r="A25" i="29"/>
  <c r="A26" i="29"/>
  <c r="A27" i="29"/>
  <c r="A28" i="29"/>
  <c r="H28" i="29"/>
  <c r="A29" i="29"/>
  <c r="A30" i="29"/>
  <c r="A31" i="29"/>
  <c r="A32" i="29"/>
  <c r="A33" i="29"/>
  <c r="A34" i="29"/>
  <c r="A35" i="29"/>
  <c r="A36" i="29"/>
  <c r="H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7" i="29"/>
  <c r="A8" i="29"/>
  <c r="F2" i="30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E4" i="34"/>
  <c r="F4" i="34" s="1"/>
  <c r="G4" i="34" s="1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2" i="30" l="1"/>
  <c r="A6" i="29" l="1"/>
  <c r="A5" i="29"/>
  <c r="A3" i="29"/>
  <c r="A4" i="29"/>
  <c r="Q4" i="30"/>
  <c r="Q5" i="30" s="1"/>
  <c r="Q6" i="30" s="1"/>
  <c r="Q7" i="30" s="1"/>
  <c r="Q8" i="30" s="1"/>
  <c r="Q9" i="30" s="1"/>
  <c r="Q10" i="30" s="1"/>
  <c r="Q11" i="30" s="1"/>
  <c r="Q12" i="30" s="1"/>
  <c r="Q13" i="30" s="1"/>
  <c r="Q14" i="30" s="1"/>
  <c r="Q15" i="30" s="1"/>
  <c r="Q16" i="30" s="1"/>
  <c r="Q17" i="30" s="1"/>
  <c r="Q18" i="30" s="1"/>
  <c r="Q19" i="30" l="1"/>
  <c r="I18" i="30"/>
  <c r="I16" i="30"/>
  <c r="I17" i="30"/>
  <c r="I15" i="30"/>
  <c r="J18" i="30"/>
  <c r="K15" i="30"/>
  <c r="M15" i="30" s="1"/>
  <c r="J19" i="30"/>
  <c r="K22" i="30"/>
  <c r="M22" i="30" s="1"/>
  <c r="J26" i="30"/>
  <c r="G17" i="30"/>
  <c r="H17" i="30"/>
  <c r="K21" i="30"/>
  <c r="M21" i="30" s="1"/>
  <c r="J25" i="30"/>
  <c r="J17" i="30"/>
  <c r="K20" i="30"/>
  <c r="M20" i="30" s="1"/>
  <c r="J24" i="30"/>
  <c r="J16" i="30"/>
  <c r="K19" i="30"/>
  <c r="M19" i="30" s="1"/>
  <c r="J23" i="30"/>
  <c r="J15" i="30"/>
  <c r="K18" i="30"/>
  <c r="M18" i="30" s="1"/>
  <c r="J22" i="30"/>
  <c r="G22" i="30"/>
  <c r="K17" i="30"/>
  <c r="M17" i="30" s="1"/>
  <c r="J21" i="30"/>
  <c r="G19" i="30"/>
  <c r="K16" i="30"/>
  <c r="M16" i="30" s="1"/>
  <c r="J20" i="30"/>
  <c r="G18" i="30"/>
  <c r="G15" i="30"/>
  <c r="F15" i="30"/>
  <c r="E15" i="30"/>
  <c r="D15" i="30"/>
  <c r="E6" i="30"/>
  <c r="AL2" i="30"/>
  <c r="AL1" i="30"/>
  <c r="AI2" i="30"/>
  <c r="BB2" i="30" s="1"/>
  <c r="AH2" i="30"/>
  <c r="BA2" i="30" s="1"/>
  <c r="AG2" i="30"/>
  <c r="AZ2" i="30" s="1"/>
  <c r="R3" i="30"/>
  <c r="AL3" i="30" s="1"/>
  <c r="AF2" i="30"/>
  <c r="AY2" i="30" s="1"/>
  <c r="AE2" i="30"/>
  <c r="AX2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R4" i="30"/>
  <c r="AL4" i="30" s="1"/>
  <c r="Q20" i="30" l="1"/>
  <c r="N22" i="30"/>
  <c r="N19" i="30"/>
  <c r="N15" i="30"/>
  <c r="N18" i="30"/>
  <c r="N17" i="30"/>
  <c r="AJ4" i="30"/>
  <c r="E12" i="30"/>
  <c r="L16" i="30"/>
  <c r="O16" i="30" s="1"/>
  <c r="AJ26" i="30"/>
  <c r="AJ83" i="30"/>
  <c r="AJ27" i="30"/>
  <c r="AJ82" i="30"/>
  <c r="AJ42" i="30"/>
  <c r="AJ18" i="30"/>
  <c r="AJ97" i="30"/>
  <c r="AJ89" i="30"/>
  <c r="AJ81" i="30"/>
  <c r="AJ73" i="30"/>
  <c r="AJ65" i="30"/>
  <c r="AJ57" i="30"/>
  <c r="AJ49" i="30"/>
  <c r="AJ41" i="30"/>
  <c r="AJ33" i="30"/>
  <c r="AJ25" i="30"/>
  <c r="AJ17" i="30"/>
  <c r="AJ9" i="30"/>
  <c r="AJ88" i="30"/>
  <c r="AJ80" i="30"/>
  <c r="AJ72" i="30"/>
  <c r="AJ64" i="30"/>
  <c r="AJ56" i="30"/>
  <c r="AJ48" i="30"/>
  <c r="AJ40" i="30"/>
  <c r="AJ32" i="30"/>
  <c r="AJ24" i="30"/>
  <c r="AJ16" i="30"/>
  <c r="AJ8" i="30"/>
  <c r="AJ59" i="30"/>
  <c r="AJ11" i="30"/>
  <c r="AJ50" i="30"/>
  <c r="AJ79" i="30"/>
  <c r="AJ91" i="30"/>
  <c r="AJ67" i="30"/>
  <c r="AJ51" i="30"/>
  <c r="AJ19" i="30"/>
  <c r="AJ98" i="30"/>
  <c r="AJ74" i="30"/>
  <c r="AJ58" i="30"/>
  <c r="AJ34" i="30"/>
  <c r="AJ10" i="30"/>
  <c r="AJ96" i="30"/>
  <c r="AJ3" i="30"/>
  <c r="AJ95" i="30"/>
  <c r="AJ87" i="30"/>
  <c r="AJ71" i="30"/>
  <c r="AJ63" i="30"/>
  <c r="AJ55" i="30"/>
  <c r="AJ47" i="30"/>
  <c r="AJ39" i="30"/>
  <c r="AJ31" i="30"/>
  <c r="AJ23" i="30"/>
  <c r="AJ15" i="30"/>
  <c r="AJ7" i="30"/>
  <c r="AJ102" i="30"/>
  <c r="AJ94" i="30"/>
  <c r="AJ86" i="30"/>
  <c r="AJ78" i="30"/>
  <c r="AJ70" i="30"/>
  <c r="AJ62" i="30"/>
  <c r="AJ54" i="30"/>
  <c r="AJ46" i="30"/>
  <c r="AJ38" i="30"/>
  <c r="AJ30" i="30"/>
  <c r="AJ22" i="30"/>
  <c r="AJ14" i="30"/>
  <c r="AJ6" i="30"/>
  <c r="AJ75" i="30"/>
  <c r="AJ43" i="30"/>
  <c r="AJ90" i="30"/>
  <c r="AJ93" i="30"/>
  <c r="AJ13" i="30"/>
  <c r="AJ99" i="30"/>
  <c r="AJ35" i="30"/>
  <c r="AJ66" i="30"/>
  <c r="AJ101" i="30"/>
  <c r="AJ85" i="30"/>
  <c r="AJ77" i="30"/>
  <c r="AJ69" i="30"/>
  <c r="AJ61" i="30"/>
  <c r="AJ53" i="30"/>
  <c r="AJ45" i="30"/>
  <c r="AJ37" i="30"/>
  <c r="AJ29" i="30"/>
  <c r="AJ21" i="30"/>
  <c r="AJ5" i="30"/>
  <c r="AJ100" i="30"/>
  <c r="AJ92" i="30"/>
  <c r="AJ84" i="30"/>
  <c r="AJ76" i="30"/>
  <c r="AJ68" i="30"/>
  <c r="AJ60" i="30"/>
  <c r="AJ52" i="30"/>
  <c r="AJ44" i="30"/>
  <c r="AJ36" i="30"/>
  <c r="AJ28" i="30"/>
  <c r="AJ20" i="30"/>
  <c r="AJ12" i="30"/>
  <c r="T1" i="30"/>
  <c r="H15" i="30"/>
  <c r="G25" i="30"/>
  <c r="N25" i="30" s="1"/>
  <c r="G24" i="30"/>
  <c r="F25" i="30"/>
  <c r="F24" i="30"/>
  <c r="F23" i="30"/>
  <c r="F22" i="30"/>
  <c r="F21" i="30"/>
  <c r="F20" i="30"/>
  <c r="F19" i="30"/>
  <c r="F18" i="30"/>
  <c r="F17" i="30"/>
  <c r="F16" i="30"/>
  <c r="G20" i="30"/>
  <c r="E25" i="30"/>
  <c r="E24" i="30"/>
  <c r="E23" i="30"/>
  <c r="E22" i="30"/>
  <c r="E21" i="30"/>
  <c r="E20" i="30"/>
  <c r="E19" i="30"/>
  <c r="E18" i="30"/>
  <c r="E17" i="30"/>
  <c r="E16" i="30"/>
  <c r="G23" i="30"/>
  <c r="L15" i="30"/>
  <c r="O15" i="30" s="1"/>
  <c r="D25" i="30"/>
  <c r="D24" i="30"/>
  <c r="D23" i="30"/>
  <c r="D22" i="30"/>
  <c r="D21" i="30"/>
  <c r="D20" i="30"/>
  <c r="D19" i="30"/>
  <c r="D18" i="30"/>
  <c r="D17" i="30"/>
  <c r="D16" i="30"/>
  <c r="G21" i="30"/>
  <c r="N21" i="30" s="1"/>
  <c r="P21" i="30" s="1"/>
  <c r="G16" i="30"/>
  <c r="N16" i="30" s="1"/>
  <c r="L25" i="30"/>
  <c r="O25" i="30" s="1"/>
  <c r="L24" i="30"/>
  <c r="O24" i="30" s="1"/>
  <c r="L23" i="30"/>
  <c r="O23" i="30" s="1"/>
  <c r="L22" i="30"/>
  <c r="O22" i="30" s="1"/>
  <c r="L21" i="30"/>
  <c r="O21" i="30" s="1"/>
  <c r="L20" i="30"/>
  <c r="O20" i="30" s="1"/>
  <c r="L19" i="30"/>
  <c r="O19" i="30" s="1"/>
  <c r="L18" i="30"/>
  <c r="O18" i="30" s="1"/>
  <c r="L17" i="30"/>
  <c r="O17" i="30" s="1"/>
  <c r="D26" i="30"/>
  <c r="L27" i="30"/>
  <c r="O27" i="30" s="1"/>
  <c r="K28" i="30"/>
  <c r="M28" i="30" s="1"/>
  <c r="K29" i="30"/>
  <c r="M29" i="30" s="1"/>
  <c r="K30" i="30"/>
  <c r="M30" i="30" s="1"/>
  <c r="E26" i="30"/>
  <c r="D27" i="30"/>
  <c r="L28" i="30"/>
  <c r="O28" i="30" s="1"/>
  <c r="L29" i="30"/>
  <c r="O29" i="30" s="1"/>
  <c r="L30" i="30"/>
  <c r="O30" i="30" s="1"/>
  <c r="J30" i="30"/>
  <c r="F26" i="30"/>
  <c r="E27" i="30"/>
  <c r="D28" i="30"/>
  <c r="D29" i="30"/>
  <c r="D30" i="30"/>
  <c r="J28" i="30"/>
  <c r="G26" i="30"/>
  <c r="N26" i="30" s="1"/>
  <c r="F27" i="30"/>
  <c r="E28" i="30"/>
  <c r="E29" i="30"/>
  <c r="E30" i="30"/>
  <c r="J29" i="30"/>
  <c r="G27" i="30"/>
  <c r="N27" i="30" s="1"/>
  <c r="F28" i="30"/>
  <c r="F29" i="30"/>
  <c r="F30" i="30"/>
  <c r="G28" i="30"/>
  <c r="N28" i="30" s="1"/>
  <c r="G29" i="30"/>
  <c r="N29" i="30" s="1"/>
  <c r="G30" i="30"/>
  <c r="N30" i="30" s="1"/>
  <c r="L26" i="30"/>
  <c r="O26" i="30" s="1"/>
  <c r="K26" i="30"/>
  <c r="M26" i="30" s="1"/>
  <c r="J27" i="30"/>
  <c r="K27" i="30"/>
  <c r="M27" i="30" s="1"/>
  <c r="K25" i="30"/>
  <c r="M25" i="30" s="1"/>
  <c r="K24" i="30"/>
  <c r="M24" i="30" s="1"/>
  <c r="K23" i="30"/>
  <c r="M23" i="30" s="1"/>
  <c r="H18" i="30"/>
  <c r="H16" i="30"/>
  <c r="Y3" i="30" a="1"/>
  <c r="Y96" i="30" a="1"/>
  <c r="Y29" i="30" a="1"/>
  <c r="Y65" i="30" a="1"/>
  <c r="Y90" i="30" a="1"/>
  <c r="Y69" i="30" a="1"/>
  <c r="Y57" i="30" a="1"/>
  <c r="Y18" i="30" a="1"/>
  <c r="Y54" i="30" a="1"/>
  <c r="Y20" i="30" a="1"/>
  <c r="Y75" i="30" a="1"/>
  <c r="Y71" i="30" a="1"/>
  <c r="Y97" i="30" a="1"/>
  <c r="Y34" i="30" a="1"/>
  <c r="Y101" i="30" a="1"/>
  <c r="Y94" i="30" a="1"/>
  <c r="Y88" i="30" a="1"/>
  <c r="Y53" i="30" a="1"/>
  <c r="Y91" i="30" a="1"/>
  <c r="Y100" i="30" a="1"/>
  <c r="Y62" i="30" a="1"/>
  <c r="Y93" i="30" a="1"/>
  <c r="Y86" i="30" a="1"/>
  <c r="Y50" i="30" a="1"/>
  <c r="Y39" i="30" a="1"/>
  <c r="Y76" i="30" a="1"/>
  <c r="Y64" i="30" a="1"/>
  <c r="Y74" i="30" a="1"/>
  <c r="Y66" i="30" a="1"/>
  <c r="Y68" i="30" a="1"/>
  <c r="Y61" i="30" a="1"/>
  <c r="Y49" i="30" a="1"/>
  <c r="Y79" i="30" a="1"/>
  <c r="Y22" i="30" a="1"/>
  <c r="Y95" i="30" a="1"/>
  <c r="Y89" i="30" a="1"/>
  <c r="Y99" i="30" a="1"/>
  <c r="Y83" i="30" a="1"/>
  <c r="Y78" i="30" a="1"/>
  <c r="Y72" i="30" a="1"/>
  <c r="Y46" i="30" a="1"/>
  <c r="Y36" i="30" a="1"/>
  <c r="Y81" i="30" a="1"/>
  <c r="Y98" i="30" a="1"/>
  <c r="Y84" i="30" a="1"/>
  <c r="Y102" i="30" a="1"/>
  <c r="Y92" i="30" a="1"/>
  <c r="Y70" i="30" a="1"/>
  <c r="Y42" i="30" a="1"/>
  <c r="Y58" i="30" a="1"/>
  <c r="Y16" i="30" a="1"/>
  <c r="Y27" i="30" a="1"/>
  <c r="Y43" i="30" a="1"/>
  <c r="Y32" i="30" a="1"/>
  <c r="Y37" i="30" a="1"/>
  <c r="Y25" i="30" a="1"/>
  <c r="Y80" i="30" a="1"/>
  <c r="Y47" i="30" a="1"/>
  <c r="Y67" i="30" a="1"/>
  <c r="Y63" i="30" a="1"/>
  <c r="Y59" i="30" a="1"/>
  <c r="Y55" i="30" a="1"/>
  <c r="Y51" i="30" a="1"/>
  <c r="Y40" i="30" a="1"/>
  <c r="Y23" i="30" a="1"/>
  <c r="Y85" i="30" a="1"/>
  <c r="Y30" i="30" a="1"/>
  <c r="Y21" i="30" a="1"/>
  <c r="Y19" i="30" a="1"/>
  <c r="Y17" i="30" a="1"/>
  <c r="Y35" i="30" a="1"/>
  <c r="Y44" i="30" a="1"/>
  <c r="Y28" i="30" a="1"/>
  <c r="Y60" i="30" a="1"/>
  <c r="Y56" i="30" a="1"/>
  <c r="Y52" i="30" a="1"/>
  <c r="Y48" i="30" a="1"/>
  <c r="Y33" i="30" a="1"/>
  <c r="Y41" i="30" a="1"/>
  <c r="Y38" i="30" a="1"/>
  <c r="Y26" i="30" a="1"/>
  <c r="Y82" i="30" a="1"/>
  <c r="Y73" i="30" a="1"/>
  <c r="Y45" i="30" a="1"/>
  <c r="Y77" i="30" a="1"/>
  <c r="Y87" i="30" a="1"/>
  <c r="Y31" i="30" a="1"/>
  <c r="Y24" i="30" a="1"/>
  <c r="Y15" i="30" a="1"/>
  <c r="Y14" i="30" a="1"/>
  <c r="Y13" i="30" a="1"/>
  <c r="Y12" i="30" a="1"/>
  <c r="Y11" i="30" a="1"/>
  <c r="Y10" i="30" a="1"/>
  <c r="Y9" i="30" a="1"/>
  <c r="Y8" i="30" a="1"/>
  <c r="Y7" i="30" a="1"/>
  <c r="Y6" i="30" a="1"/>
  <c r="Y5" i="30" a="1"/>
  <c r="Y4" i="30" a="1"/>
  <c r="T4" i="30" a="1"/>
  <c r="T5" i="30" a="1"/>
  <c r="T6" i="30" a="1"/>
  <c r="T7" i="30" a="1"/>
  <c r="T8" i="30" a="1"/>
  <c r="T9" i="30" a="1"/>
  <c r="T10" i="30" a="1"/>
  <c r="T11" i="30" a="1"/>
  <c r="T12" i="30" a="1"/>
  <c r="T13" i="30" a="1"/>
  <c r="T14" i="30" a="1"/>
  <c r="T15" i="30" a="1"/>
  <c r="T16" i="30" a="1"/>
  <c r="X4" i="30" a="1"/>
  <c r="X5" i="30" a="1"/>
  <c r="X6" i="30" a="1"/>
  <c r="X7" i="30" a="1"/>
  <c r="X8" i="30" a="1"/>
  <c r="X9" i="30" a="1"/>
  <c r="X10" i="30" a="1"/>
  <c r="X11" i="30" a="1"/>
  <c r="X12" i="30" a="1"/>
  <c r="X13" i="30" a="1"/>
  <c r="Z4" i="30" a="1"/>
  <c r="Z5" i="30" a="1"/>
  <c r="Z6" i="30" a="1"/>
  <c r="Z7" i="30" a="1"/>
  <c r="Z8" i="30" a="1"/>
  <c r="Z9" i="30" a="1"/>
  <c r="Z10" i="30" a="1"/>
  <c r="Z11" i="30" a="1"/>
  <c r="Z12" i="30" a="1"/>
  <c r="Z13" i="30" a="1"/>
  <c r="Z14" i="30" a="1"/>
  <c r="Z15" i="30" a="1"/>
  <c r="Z16" i="30" a="1"/>
  <c r="AA4" i="30" a="1"/>
  <c r="AA5" i="30" a="1"/>
  <c r="AA6" i="30" a="1"/>
  <c r="AA7" i="30" a="1"/>
  <c r="AA8" i="30" a="1"/>
  <c r="AA9" i="30" a="1"/>
  <c r="AA10" i="30" a="1"/>
  <c r="AA11" i="30" a="1"/>
  <c r="AA12" i="30" a="1"/>
  <c r="AA13" i="30" a="1"/>
  <c r="AA14" i="30" a="1"/>
  <c r="AA15" i="30" a="1"/>
  <c r="AA16" i="30" a="1"/>
  <c r="AB4" i="30" a="1"/>
  <c r="AB5" i="30" a="1"/>
  <c r="AB6" i="30" a="1"/>
  <c r="AB7" i="30" a="1"/>
  <c r="AB8" i="30" a="1"/>
  <c r="AB9" i="30" a="1"/>
  <c r="AB10" i="30" a="1"/>
  <c r="AB11" i="30" a="1"/>
  <c r="AB12" i="30" a="1"/>
  <c r="AB13" i="30" a="1"/>
  <c r="AB14" i="30" a="1"/>
  <c r="AB15" i="30" a="1"/>
  <c r="AB16" i="30" a="1"/>
  <c r="AC4" i="30" a="1"/>
  <c r="AC5" i="30" a="1"/>
  <c r="AD4" i="30" a="1"/>
  <c r="AE4" i="30" a="1"/>
  <c r="AF4" i="30" a="1"/>
  <c r="AG4" i="30" a="1"/>
  <c r="AD16" i="30" a="1"/>
  <c r="AI7" i="30" a="1"/>
  <c r="AC11" i="30" a="1"/>
  <c r="AE16" i="30" a="1"/>
  <c r="AH4" i="30" a="1"/>
  <c r="AD11" i="30" a="1"/>
  <c r="X14" i="30" a="1"/>
  <c r="AC8" i="30" a="1"/>
  <c r="AE11" i="30" a="1"/>
  <c r="AC14" i="30" a="1"/>
  <c r="AF16" i="30" a="1"/>
  <c r="AI4" i="30" a="1"/>
  <c r="AD8" i="30" a="1"/>
  <c r="AF11" i="30" a="1"/>
  <c r="AD14" i="30" a="1"/>
  <c r="AG16" i="30" a="1"/>
  <c r="AE8" i="30" a="1"/>
  <c r="AG11" i="30" a="1"/>
  <c r="AE14" i="30" a="1"/>
  <c r="AD5" i="30" a="1"/>
  <c r="AF8" i="30" a="1"/>
  <c r="AF14" i="30" a="1"/>
  <c r="AH16" i="30" a="1"/>
  <c r="AE5" i="30" a="1"/>
  <c r="AG8" i="30" a="1"/>
  <c r="AH11" i="30" a="1"/>
  <c r="AG14" i="30" a="1"/>
  <c r="AF5" i="30" a="1"/>
  <c r="AI16" i="30" a="1"/>
  <c r="AG5" i="30" a="1"/>
  <c r="AH8" i="30" a="1"/>
  <c r="AI11" i="30" a="1"/>
  <c r="AH14" i="30" a="1"/>
  <c r="AH5" i="30" a="1"/>
  <c r="AI8" i="30" a="1"/>
  <c r="AI14" i="30" a="1"/>
  <c r="AC12" i="30" a="1"/>
  <c r="AI5" i="30" a="1"/>
  <c r="AC9" i="30" a="1"/>
  <c r="AD12" i="30" a="1"/>
  <c r="AD9" i="30" a="1"/>
  <c r="AE12" i="30" a="1"/>
  <c r="AC6" i="30" a="1"/>
  <c r="AE9" i="30" a="1"/>
  <c r="AF12" i="30" a="1"/>
  <c r="X15" i="30" a="1"/>
  <c r="AD6" i="30" a="1"/>
  <c r="AF9" i="30" a="1"/>
  <c r="AG12" i="30" a="1"/>
  <c r="AC15" i="30" a="1"/>
  <c r="AE6" i="30" a="1"/>
  <c r="AG9" i="30" a="1"/>
  <c r="AD15" i="30" a="1"/>
  <c r="AF6" i="30" a="1"/>
  <c r="AH12" i="30" a="1"/>
  <c r="AE15" i="30" a="1"/>
  <c r="AG6" i="30" a="1"/>
  <c r="AH9" i="30" a="1"/>
  <c r="AI12" i="30" a="1"/>
  <c r="AF15" i="30" a="1"/>
  <c r="AH6" i="30" a="1"/>
  <c r="AI9" i="30" a="1"/>
  <c r="AG15" i="30" a="1"/>
  <c r="AI6" i="30" a="1"/>
  <c r="AC10" i="30" a="1"/>
  <c r="AC13" i="30" a="1"/>
  <c r="AH15" i="30" a="1"/>
  <c r="AD10" i="30" a="1"/>
  <c r="AD13" i="30" a="1"/>
  <c r="AC7" i="30" a="1"/>
  <c r="AD7" i="30" a="1"/>
  <c r="AE7" i="30" a="1"/>
  <c r="AF7" i="30" a="1"/>
  <c r="AG7" i="30" a="1"/>
  <c r="AH7" i="30" a="1"/>
  <c r="AG10" i="30" a="1"/>
  <c r="AE10" i="30" a="1"/>
  <c r="AF10" i="30" a="1"/>
  <c r="AH10" i="30" a="1"/>
  <c r="AI10" i="30" a="1"/>
  <c r="AE13" i="30" a="1"/>
  <c r="AF13" i="30" a="1"/>
  <c r="AG13" i="30" a="1"/>
  <c r="AH13" i="30" a="1"/>
  <c r="AI13" i="30" a="1"/>
  <c r="AI15" i="30" a="1"/>
  <c r="X16" i="30" a="1"/>
  <c r="AC16" i="30" a="1"/>
  <c r="AC3" i="30" a="1"/>
  <c r="AF3" i="30" a="1"/>
  <c r="Z3" i="30" a="1"/>
  <c r="AD3" i="30" a="1"/>
  <c r="AE3" i="30" a="1"/>
  <c r="AG3" i="30" a="1"/>
  <c r="AI3" i="30" a="1"/>
  <c r="AB3" i="30" a="1"/>
  <c r="AA3" i="30" a="1"/>
  <c r="AH3" i="30" a="1"/>
  <c r="X3" i="30" a="1"/>
  <c r="W4" i="30" a="1"/>
  <c r="W5" i="30" a="1"/>
  <c r="W6" i="30" a="1"/>
  <c r="W7" i="30" a="1"/>
  <c r="W8" i="30" a="1"/>
  <c r="W9" i="30" a="1"/>
  <c r="W10" i="30" a="1"/>
  <c r="W11" i="30" a="1"/>
  <c r="W14" i="30" a="1"/>
  <c r="W12" i="30" a="1"/>
  <c r="W15" i="30" a="1"/>
  <c r="W13" i="30" a="1"/>
  <c r="W16" i="30" a="1"/>
  <c r="V4" i="30" a="1"/>
  <c r="V5" i="30" a="1"/>
  <c r="V6" i="30" a="1"/>
  <c r="V7" i="30" a="1"/>
  <c r="V8" i="30" a="1"/>
  <c r="V9" i="30" a="1"/>
  <c r="V10" i="30" a="1"/>
  <c r="V11" i="30" a="1"/>
  <c r="V12" i="30" a="1"/>
  <c r="V13" i="30" a="1"/>
  <c r="V14" i="30" a="1"/>
  <c r="V15" i="30" a="1"/>
  <c r="V16" i="30" a="1"/>
  <c r="U4" i="30" a="1"/>
  <c r="U5" i="30" a="1"/>
  <c r="U6" i="30" a="1"/>
  <c r="U7" i="30" a="1"/>
  <c r="U8" i="30" a="1"/>
  <c r="U9" i="30" a="1"/>
  <c r="U10" i="30" a="1"/>
  <c r="U11" i="30" a="1"/>
  <c r="U12" i="30" a="1"/>
  <c r="U13" i="30" a="1"/>
  <c r="U14" i="30" a="1"/>
  <c r="U15" i="30" a="1"/>
  <c r="U16" i="30" a="1"/>
  <c r="V3" i="30" a="1"/>
  <c r="T3" i="30" a="1"/>
  <c r="W3" i="30" a="1"/>
  <c r="U3" i="30" a="1"/>
  <c r="Y4" i="30" l="1"/>
  <c r="Y5" i="30"/>
  <c r="Y6" i="30"/>
  <c r="Y7" i="30"/>
  <c r="Y8" i="30"/>
  <c r="Y9" i="30"/>
  <c r="Y10" i="30"/>
  <c r="Y11" i="30"/>
  <c r="Y12" i="30"/>
  <c r="Y13" i="30"/>
  <c r="Y14" i="30"/>
  <c r="Y15" i="30"/>
  <c r="Y24" i="30"/>
  <c r="Y31" i="30"/>
  <c r="Y87" i="30"/>
  <c r="Y77" i="30"/>
  <c r="Y45" i="30"/>
  <c r="Y73" i="30"/>
  <c r="Y82" i="30"/>
  <c r="Y26" i="30"/>
  <c r="Y38" i="30"/>
  <c r="Y41" i="30"/>
  <c r="Y33" i="30"/>
  <c r="Y48" i="30"/>
  <c r="Y52" i="30"/>
  <c r="Y56" i="30"/>
  <c r="Y60" i="30"/>
  <c r="Y28" i="30"/>
  <c r="Y44" i="30"/>
  <c r="Y35" i="30"/>
  <c r="Y17" i="30"/>
  <c r="Y19" i="30"/>
  <c r="Y21" i="30"/>
  <c r="Y30" i="30"/>
  <c r="Y85" i="30"/>
  <c r="Y23" i="30"/>
  <c r="Y40" i="30"/>
  <c r="Y51" i="30"/>
  <c r="Y55" i="30"/>
  <c r="Y59" i="30"/>
  <c r="Y63" i="30"/>
  <c r="Y67" i="30"/>
  <c r="Y47" i="30"/>
  <c r="Y80" i="30"/>
  <c r="Y25" i="30"/>
  <c r="Y37" i="30"/>
  <c r="Y32" i="30"/>
  <c r="Y43" i="30"/>
  <c r="Y27" i="30"/>
  <c r="Y16" i="30"/>
  <c r="Y58" i="30"/>
  <c r="Y42" i="30"/>
  <c r="Y70" i="30"/>
  <c r="Y92" i="30"/>
  <c r="Y102" i="30"/>
  <c r="Y84" i="30"/>
  <c r="Y98" i="30"/>
  <c r="Y81" i="30"/>
  <c r="Y36" i="30"/>
  <c r="Y46" i="30"/>
  <c r="Y72" i="30"/>
  <c r="Y78" i="30"/>
  <c r="Y83" i="30"/>
  <c r="Y99" i="30"/>
  <c r="Y89" i="30"/>
  <c r="Y95" i="30"/>
  <c r="Y22" i="30"/>
  <c r="Y79" i="30"/>
  <c r="Y49" i="30"/>
  <c r="Y61" i="30"/>
  <c r="Y68" i="30"/>
  <c r="Y66" i="30"/>
  <c r="Y74" i="30"/>
  <c r="Y64" i="30"/>
  <c r="Y76" i="30"/>
  <c r="Y39" i="30"/>
  <c r="Y50" i="30"/>
  <c r="Y86" i="30"/>
  <c r="Y93" i="30"/>
  <c r="Y62" i="30"/>
  <c r="Y100" i="30"/>
  <c r="Y91" i="30"/>
  <c r="Y53" i="30"/>
  <c r="Y88" i="30"/>
  <c r="Y94" i="30"/>
  <c r="Y101" i="30"/>
  <c r="Y34" i="30"/>
  <c r="Y97" i="30"/>
  <c r="Y71" i="30"/>
  <c r="Y75" i="30"/>
  <c r="Y20" i="30"/>
  <c r="Y54" i="30"/>
  <c r="Y18" i="30"/>
  <c r="Y57" i="30"/>
  <c r="Y69" i="30"/>
  <c r="Y90" i="30"/>
  <c r="Y65" i="30"/>
  <c r="Y29" i="30"/>
  <c r="Y96" i="30"/>
  <c r="Y3" i="30"/>
  <c r="T16" i="30"/>
  <c r="T15" i="30"/>
  <c r="T14" i="30"/>
  <c r="T13" i="30"/>
  <c r="T12" i="30"/>
  <c r="T11" i="30"/>
  <c r="T10" i="30"/>
  <c r="T9" i="30"/>
  <c r="T8" i="30"/>
  <c r="T7" i="30"/>
  <c r="T6" i="30"/>
  <c r="T5" i="30"/>
  <c r="T4" i="30"/>
  <c r="X3" i="30"/>
  <c r="AH3" i="30"/>
  <c r="AA3" i="30"/>
  <c r="AB3" i="30"/>
  <c r="AI3" i="30"/>
  <c r="AG3" i="30"/>
  <c r="AE3" i="30"/>
  <c r="AD3" i="30"/>
  <c r="Z3" i="30"/>
  <c r="AF3" i="30"/>
  <c r="AC3" i="30"/>
  <c r="AC16" i="30"/>
  <c r="X16" i="30"/>
  <c r="AI15" i="30"/>
  <c r="AI13" i="30"/>
  <c r="AH13" i="30"/>
  <c r="AG13" i="30"/>
  <c r="AF13" i="30"/>
  <c r="AE13" i="30"/>
  <c r="AI10" i="30"/>
  <c r="AH10" i="30"/>
  <c r="AF10" i="30"/>
  <c r="AE10" i="30"/>
  <c r="AG10" i="30"/>
  <c r="AH7" i="30"/>
  <c r="AG7" i="30"/>
  <c r="AF7" i="30"/>
  <c r="AE7" i="30"/>
  <c r="AD7" i="30"/>
  <c r="AC7" i="30"/>
  <c r="AD13" i="30"/>
  <c r="AD10" i="30"/>
  <c r="AH15" i="30"/>
  <c r="AC13" i="30"/>
  <c r="AC10" i="30"/>
  <c r="AI6" i="30"/>
  <c r="AG15" i="30"/>
  <c r="AI9" i="30"/>
  <c r="AH6" i="30"/>
  <c r="AF15" i="30"/>
  <c r="AI12" i="30"/>
  <c r="AH9" i="30"/>
  <c r="AG6" i="30"/>
  <c r="AE15" i="30"/>
  <c r="AH12" i="30"/>
  <c r="AF6" i="30"/>
  <c r="AD15" i="30"/>
  <c r="AG9" i="30"/>
  <c r="AE6" i="30"/>
  <c r="AC15" i="30"/>
  <c r="AG12" i="30"/>
  <c r="AF9" i="30"/>
  <c r="AD6" i="30"/>
  <c r="X15" i="30"/>
  <c r="AF12" i="30"/>
  <c r="AE9" i="30"/>
  <c r="AC6" i="30"/>
  <c r="AE12" i="30"/>
  <c r="AD9" i="30"/>
  <c r="AD12" i="30"/>
  <c r="AC9" i="30"/>
  <c r="AI5" i="30"/>
  <c r="AC12" i="30"/>
  <c r="AI14" i="30"/>
  <c r="AI8" i="30"/>
  <c r="AH5" i="30"/>
  <c r="AH14" i="30"/>
  <c r="AI11" i="30"/>
  <c r="AH8" i="30"/>
  <c r="AG5" i="30"/>
  <c r="AI16" i="30"/>
  <c r="AF5" i="30"/>
  <c r="AG14" i="30"/>
  <c r="AH11" i="30"/>
  <c r="AG8" i="30"/>
  <c r="AE5" i="30"/>
  <c r="AH16" i="30"/>
  <c r="AF14" i="30"/>
  <c r="AF8" i="30"/>
  <c r="AD5" i="30"/>
  <c r="AE14" i="30"/>
  <c r="AG11" i="30"/>
  <c r="AE8" i="30"/>
  <c r="AG16" i="30"/>
  <c r="AD14" i="30"/>
  <c r="AF11" i="30"/>
  <c r="AD8" i="30"/>
  <c r="AI4" i="30"/>
  <c r="AF16" i="30"/>
  <c r="AC14" i="30"/>
  <c r="AE11" i="30"/>
  <c r="AC8" i="30"/>
  <c r="X14" i="30"/>
  <c r="AD11" i="30"/>
  <c r="AH4" i="30"/>
  <c r="AE16" i="30"/>
  <c r="AC11" i="30"/>
  <c r="AI7" i="30"/>
  <c r="AD16" i="30"/>
  <c r="AG4" i="30"/>
  <c r="AF4" i="30"/>
  <c r="AE4" i="30"/>
  <c r="AD4" i="30"/>
  <c r="AC5" i="30"/>
  <c r="AC4" i="30"/>
  <c r="AB16" i="30"/>
  <c r="AB15" i="30"/>
  <c r="AB14" i="30"/>
  <c r="AB13" i="30"/>
  <c r="AB12" i="30"/>
  <c r="AB11" i="30"/>
  <c r="AB10" i="30"/>
  <c r="AB9" i="30"/>
  <c r="AB8" i="30"/>
  <c r="AB7" i="30"/>
  <c r="AB6" i="30"/>
  <c r="AB5" i="30"/>
  <c r="AB4" i="30"/>
  <c r="AA16" i="30"/>
  <c r="AA15" i="30"/>
  <c r="AA14" i="30"/>
  <c r="AA13" i="30"/>
  <c r="AA12" i="30"/>
  <c r="AA11" i="30"/>
  <c r="AA10" i="30"/>
  <c r="AA9" i="30"/>
  <c r="AA8" i="30"/>
  <c r="AA7" i="30"/>
  <c r="AA6" i="30"/>
  <c r="AA5" i="30"/>
  <c r="AA4" i="30"/>
  <c r="Z16" i="30"/>
  <c r="Z15" i="30"/>
  <c r="Z14" i="30"/>
  <c r="Z13" i="30"/>
  <c r="Z12" i="30"/>
  <c r="Z11" i="30"/>
  <c r="Z10" i="30"/>
  <c r="Z9" i="30"/>
  <c r="Z8" i="30"/>
  <c r="Z7" i="30"/>
  <c r="Z6" i="30"/>
  <c r="Z5" i="30"/>
  <c r="Z4" i="30"/>
  <c r="X13" i="30"/>
  <c r="X12" i="30"/>
  <c r="X11" i="30"/>
  <c r="X10" i="30"/>
  <c r="X9" i="30"/>
  <c r="X8" i="30"/>
  <c r="X7" i="30"/>
  <c r="X6" i="30"/>
  <c r="X5" i="30"/>
  <c r="X4" i="30"/>
  <c r="W16" i="30"/>
  <c r="W13" i="30"/>
  <c r="W15" i="30"/>
  <c r="W12" i="30"/>
  <c r="W14" i="30"/>
  <c r="W11" i="30"/>
  <c r="W10" i="30"/>
  <c r="W9" i="30"/>
  <c r="W8" i="30"/>
  <c r="W7" i="30"/>
  <c r="W6" i="30"/>
  <c r="W5" i="30"/>
  <c r="W4" i="30"/>
  <c r="V16" i="30"/>
  <c r="V15" i="30"/>
  <c r="V14" i="30"/>
  <c r="V13" i="30"/>
  <c r="V12" i="30"/>
  <c r="V11" i="30"/>
  <c r="V10" i="30"/>
  <c r="V9" i="30"/>
  <c r="V8" i="30"/>
  <c r="V7" i="30"/>
  <c r="V6" i="30"/>
  <c r="V5" i="30"/>
  <c r="V4" i="30"/>
  <c r="Q21" i="30"/>
  <c r="U16" i="30"/>
  <c r="U15" i="30"/>
  <c r="U14" i="30"/>
  <c r="U13" i="30"/>
  <c r="U12" i="30"/>
  <c r="U11" i="30"/>
  <c r="U10" i="30"/>
  <c r="U9" i="30"/>
  <c r="U8" i="30"/>
  <c r="U7" i="30"/>
  <c r="U6" i="30"/>
  <c r="U5" i="30"/>
  <c r="U4" i="30"/>
  <c r="U3" i="30"/>
  <c r="W3" i="30"/>
  <c r="T3" i="30"/>
  <c r="V3" i="30"/>
  <c r="N20" i="30"/>
  <c r="P20" i="30" s="1"/>
  <c r="AR4" i="30"/>
  <c r="AQ4" i="30"/>
  <c r="AX5" i="30"/>
  <c r="BB4" i="30"/>
  <c r="AO5" i="30"/>
  <c r="BA3" i="30"/>
  <c r="AY4" i="30"/>
  <c r="AZ3" i="30"/>
  <c r="AT4" i="30"/>
  <c r="AM4" i="30"/>
  <c r="AT5" i="30"/>
  <c r="AM3" i="30"/>
  <c r="AQ5" i="30"/>
  <c r="AZ5" i="30"/>
  <c r="AM5" i="30"/>
  <c r="AZ4" i="30"/>
  <c r="AP4" i="30"/>
  <c r="AY5" i="30"/>
  <c r="AN4" i="30"/>
  <c r="AP3" i="30"/>
  <c r="AQ3" i="30"/>
  <c r="AW3" i="30"/>
  <c r="AR3" i="30"/>
  <c r="BA4" i="30"/>
  <c r="AX3" i="30"/>
  <c r="AY3" i="30"/>
  <c r="AX4" i="30"/>
  <c r="AO3" i="30"/>
  <c r="AS5" i="30"/>
  <c r="BB5" i="30"/>
  <c r="AN5" i="30"/>
  <c r="AN3" i="30"/>
  <c r="AW5" i="30"/>
  <c r="BA5" i="30"/>
  <c r="AW4" i="30"/>
  <c r="BB3" i="30"/>
  <c r="AR5" i="30"/>
  <c r="AP5" i="30"/>
  <c r="AS3" i="30"/>
  <c r="AS4" i="30"/>
  <c r="AO4" i="30"/>
  <c r="AT3" i="30"/>
  <c r="Q22" i="30" l="1"/>
  <c r="P19" i="30"/>
  <c r="P17" i="30"/>
  <c r="P16" i="30"/>
  <c r="P18" i="30"/>
  <c r="P15" i="30"/>
  <c r="N24" i="30"/>
  <c r="N23" i="30"/>
  <c r="R5" i="30"/>
  <c r="AN6" i="30"/>
  <c r="AO6" i="30"/>
  <c r="AW6" i="30"/>
  <c r="AS6" i="30"/>
  <c r="AM6" i="30"/>
  <c r="AV6" i="30"/>
  <c r="AU3" i="30"/>
  <c r="AX6" i="30"/>
  <c r="AQ6" i="30"/>
  <c r="AP6" i="30"/>
  <c r="AU5" i="30"/>
  <c r="AY6" i="30"/>
  <c r="BA6" i="30"/>
  <c r="BB6" i="30"/>
  <c r="AT6" i="30"/>
  <c r="AV4" i="30"/>
  <c r="AV3" i="30"/>
  <c r="AZ6" i="30"/>
  <c r="AU4" i="30"/>
  <c r="AR6" i="30"/>
  <c r="AU6" i="30"/>
  <c r="AV5" i="30"/>
  <c r="Q23" i="30" l="1"/>
  <c r="AL5" i="30"/>
  <c r="R6" i="30"/>
  <c r="AX7" i="30"/>
  <c r="BA7" i="30"/>
  <c r="AP7" i="30"/>
  <c r="AN7" i="30"/>
  <c r="AY7" i="30"/>
  <c r="AS7" i="30"/>
  <c r="AV7" i="30"/>
  <c r="AQ7" i="30"/>
  <c r="AO7" i="30"/>
  <c r="AW7" i="30"/>
  <c r="AZ7" i="30"/>
  <c r="AU7" i="30"/>
  <c r="AT7" i="30"/>
  <c r="AM7" i="30"/>
  <c r="AR7" i="30"/>
  <c r="BB7" i="30"/>
  <c r="Q24" i="30" l="1"/>
  <c r="AL6" i="30"/>
  <c r="R7" i="30"/>
  <c r="AP8" i="30"/>
  <c r="AO8" i="30"/>
  <c r="AT8" i="30"/>
  <c r="AS8" i="30"/>
  <c r="AV8" i="30"/>
  <c r="AY8" i="30"/>
  <c r="AN8" i="30"/>
  <c r="AQ8" i="30"/>
  <c r="AM8" i="30"/>
  <c r="AU8" i="30"/>
  <c r="BB8" i="30"/>
  <c r="AX8" i="30"/>
  <c r="BA8" i="30"/>
  <c r="AZ8" i="30"/>
  <c r="AR8" i="30"/>
  <c r="AW8" i="30"/>
  <c r="Q25" i="30" l="1"/>
  <c r="AL7" i="30"/>
  <c r="R8" i="30"/>
  <c r="AX9" i="30"/>
  <c r="AP9" i="30"/>
  <c r="AR9" i="30"/>
  <c r="BA9" i="30"/>
  <c r="AT9" i="30"/>
  <c r="AO9" i="30"/>
  <c r="AU9" i="30"/>
  <c r="AZ9" i="30"/>
  <c r="AW9" i="30"/>
  <c r="AN9" i="30"/>
  <c r="BB9" i="30"/>
  <c r="AY9" i="30"/>
  <c r="AS9" i="30"/>
  <c r="AQ9" i="30"/>
  <c r="AM9" i="30"/>
  <c r="AV9" i="30"/>
  <c r="Q26" i="30" l="1"/>
  <c r="AL8" i="30"/>
  <c r="R9" i="30"/>
  <c r="BB10" i="30"/>
  <c r="AS10" i="30"/>
  <c r="BA10" i="30"/>
  <c r="AP10" i="30"/>
  <c r="AY10" i="30"/>
  <c r="AR10" i="30"/>
  <c r="AN10" i="30"/>
  <c r="AO10" i="30"/>
  <c r="AW10" i="30"/>
  <c r="AV10" i="30"/>
  <c r="AT10" i="30"/>
  <c r="AZ10" i="30"/>
  <c r="AX10" i="30"/>
  <c r="AM10" i="30"/>
  <c r="AQ10" i="30"/>
  <c r="AU10" i="30"/>
  <c r="Q27" i="30" l="1"/>
  <c r="AL9" i="30"/>
  <c r="R10" i="30"/>
  <c r="AM11" i="30"/>
  <c r="AV11" i="30"/>
  <c r="AY11" i="30"/>
  <c r="BB11" i="30"/>
  <c r="AT11" i="30"/>
  <c r="AX11" i="30"/>
  <c r="AO11" i="30"/>
  <c r="AZ11" i="30"/>
  <c r="AS11" i="30"/>
  <c r="BA11" i="30"/>
  <c r="AN11" i="30"/>
  <c r="AW11" i="30"/>
  <c r="AQ11" i="30"/>
  <c r="AU11" i="30"/>
  <c r="AR11" i="30"/>
  <c r="AP11" i="30"/>
  <c r="Q28" i="30" l="1"/>
  <c r="AL10" i="30"/>
  <c r="R11" i="30"/>
  <c r="AV12" i="30"/>
  <c r="BB12" i="30"/>
  <c r="AR12" i="30"/>
  <c r="AM12" i="30"/>
  <c r="AP12" i="30"/>
  <c r="AO12" i="30"/>
  <c r="AU12" i="30"/>
  <c r="AT12" i="30"/>
  <c r="BA12" i="30"/>
  <c r="AW12" i="30"/>
  <c r="AQ12" i="30"/>
  <c r="AX12" i="30"/>
  <c r="AY12" i="30"/>
  <c r="AS12" i="30"/>
  <c r="AN12" i="30"/>
  <c r="AZ12" i="30"/>
  <c r="Q29" i="30" l="1"/>
  <c r="AL11" i="30"/>
  <c r="R12" i="30"/>
  <c r="AO13" i="30"/>
  <c r="AX13" i="30"/>
  <c r="AU13" i="30"/>
  <c r="AY13" i="30"/>
  <c r="AW13" i="30"/>
  <c r="AM13" i="30"/>
  <c r="AZ13" i="30"/>
  <c r="AP13" i="30"/>
  <c r="AS13" i="30"/>
  <c r="AR13" i="30"/>
  <c r="AV13" i="30"/>
  <c r="BA13" i="30"/>
  <c r="AN13" i="30"/>
  <c r="BB13" i="30"/>
  <c r="AQ13" i="30"/>
  <c r="AT13" i="30"/>
  <c r="Q30" i="30" l="1"/>
  <c r="AL12" i="30"/>
  <c r="R13" i="30"/>
  <c r="AT14" i="30"/>
  <c r="AU14" i="30"/>
  <c r="AN14" i="30"/>
  <c r="AP14" i="30"/>
  <c r="AO14" i="30"/>
  <c r="AZ14" i="30"/>
  <c r="AW14" i="30"/>
  <c r="AR14" i="30"/>
  <c r="AM14" i="30"/>
  <c r="AY14" i="30"/>
  <c r="BB14" i="30"/>
  <c r="AQ14" i="30"/>
  <c r="AX14" i="30"/>
  <c r="AS14" i="30"/>
  <c r="AV14" i="30"/>
  <c r="BA14" i="30"/>
  <c r="Q31" i="30" l="1"/>
  <c r="AL13" i="30"/>
  <c r="R14" i="30"/>
  <c r="BB15" i="30"/>
  <c r="AX15" i="30"/>
  <c r="AT15" i="30"/>
  <c r="AM15" i="30"/>
  <c r="AW15" i="30"/>
  <c r="AU15" i="30"/>
  <c r="AS15" i="30"/>
  <c r="AN15" i="30"/>
  <c r="AO15" i="30"/>
  <c r="AZ15" i="30"/>
  <c r="AQ15" i="30"/>
  <c r="AV15" i="30"/>
  <c r="AP15" i="30"/>
  <c r="BA15" i="30"/>
  <c r="AY15" i="30"/>
  <c r="AR15" i="30"/>
  <c r="Q32" i="30" l="1"/>
  <c r="AL14" i="30"/>
  <c r="R15" i="30"/>
  <c r="AU16" i="30"/>
  <c r="BA16" i="30"/>
  <c r="AP16" i="30"/>
  <c r="AY16" i="30"/>
  <c r="AR16" i="30"/>
  <c r="AM16" i="30"/>
  <c r="AV16" i="30"/>
  <c r="AZ16" i="30"/>
  <c r="AS16" i="30"/>
  <c r="AW16" i="30"/>
  <c r="AT16" i="30"/>
  <c r="AO16" i="30"/>
  <c r="BB16" i="30"/>
  <c r="AN16" i="30"/>
  <c r="AX16" i="30"/>
  <c r="AQ16" i="30"/>
  <c r="Q33" i="30" l="1"/>
  <c r="AL15" i="30"/>
  <c r="R16" i="30"/>
  <c r="AW17" i="30"/>
  <c r="AS17" i="30"/>
  <c r="AU17" i="30"/>
  <c r="BA17" i="30"/>
  <c r="AM17" i="30"/>
  <c r="AX17" i="30"/>
  <c r="AR17" i="30"/>
  <c r="AY17" i="30"/>
  <c r="AN17" i="30"/>
  <c r="AO17" i="30"/>
  <c r="AZ17" i="30"/>
  <c r="AQ17" i="30"/>
  <c r="AT17" i="30"/>
  <c r="AP17" i="30"/>
  <c r="BB17" i="30"/>
  <c r="AV17" i="30"/>
  <c r="Q34" i="30" l="1"/>
  <c r="AL16" i="30"/>
  <c r="R17" i="30"/>
  <c r="T17" i="30" a="1"/>
  <c r="U17" i="30" a="1"/>
  <c r="V17" i="30" a="1"/>
  <c r="AI17" i="30" a="1"/>
  <c r="AH17" i="30" a="1"/>
  <c r="AG17" i="30" a="1"/>
  <c r="AF17" i="30" a="1"/>
  <c r="AE17" i="30" a="1"/>
  <c r="AD17" i="30" a="1"/>
  <c r="AC17" i="30" a="1"/>
  <c r="X17" i="30" a="1"/>
  <c r="W17" i="30" a="1"/>
  <c r="AB17" i="30" a="1"/>
  <c r="AA17" i="30" a="1"/>
  <c r="Z17" i="30" a="1"/>
  <c r="AZ18" i="30"/>
  <c r="AY18" i="30"/>
  <c r="AX18" i="30"/>
  <c r="AN18" i="30"/>
  <c r="AM18" i="30"/>
  <c r="AS18" i="30"/>
  <c r="AW18" i="30"/>
  <c r="AR18" i="30"/>
  <c r="AU18" i="30"/>
  <c r="AP18" i="30"/>
  <c r="BB18" i="30"/>
  <c r="AO18" i="30"/>
  <c r="AV18" i="30"/>
  <c r="AQ18" i="30"/>
  <c r="AT18" i="30"/>
  <c r="BA18" i="30"/>
  <c r="T17" i="30" l="1"/>
  <c r="Z17" i="30"/>
  <c r="AA17" i="30"/>
  <c r="AB17" i="30"/>
  <c r="W17" i="30"/>
  <c r="X17" i="30"/>
  <c r="AC17" i="30"/>
  <c r="AD17" i="30"/>
  <c r="AE17" i="30"/>
  <c r="AF17" i="30"/>
  <c r="AG17" i="30"/>
  <c r="AH17" i="30"/>
  <c r="AI17" i="30"/>
  <c r="V17" i="30"/>
  <c r="U17" i="30"/>
  <c r="Q35" i="30"/>
  <c r="AL17" i="30"/>
  <c r="R18" i="30"/>
  <c r="T18" i="30" a="1"/>
  <c r="U18" i="30" a="1"/>
  <c r="V18" i="30" a="1"/>
  <c r="AD18" i="30" a="1"/>
  <c r="AC18" i="30" a="1"/>
  <c r="X18" i="30" a="1"/>
  <c r="W18" i="30" a="1"/>
  <c r="AI18" i="30" a="1"/>
  <c r="AH18" i="30" a="1"/>
  <c r="AG18" i="30" a="1"/>
  <c r="AF18" i="30" a="1"/>
  <c r="AE18" i="30" a="1"/>
  <c r="AB18" i="30" a="1"/>
  <c r="AA18" i="30" a="1"/>
  <c r="Z18" i="30" a="1"/>
  <c r="AT19" i="30"/>
  <c r="AP19" i="30"/>
  <c r="AN19" i="30"/>
  <c r="AX19" i="30"/>
  <c r="AU19" i="30"/>
  <c r="AM19" i="30"/>
  <c r="AZ19" i="30"/>
  <c r="AS19" i="30"/>
  <c r="AR19" i="30"/>
  <c r="BA19" i="30"/>
  <c r="AW19" i="30"/>
  <c r="AV19" i="30"/>
  <c r="AY19" i="30"/>
  <c r="AO19" i="30"/>
  <c r="BB19" i="30"/>
  <c r="AQ19" i="30"/>
  <c r="T18" i="30" l="1"/>
  <c r="Z18" i="30"/>
  <c r="AA18" i="30"/>
  <c r="AB18" i="30"/>
  <c r="AE18" i="30"/>
  <c r="AF18" i="30"/>
  <c r="AG18" i="30"/>
  <c r="AH18" i="30"/>
  <c r="AI18" i="30"/>
  <c r="W18" i="30"/>
  <c r="X18" i="30"/>
  <c r="AC18" i="30"/>
  <c r="AD18" i="30"/>
  <c r="V18" i="30"/>
  <c r="U18" i="30"/>
  <c r="Q36" i="30"/>
  <c r="AL18" i="30"/>
  <c r="R19" i="30"/>
  <c r="T19" i="30" a="1"/>
  <c r="U19" i="30" a="1"/>
  <c r="V19" i="30" a="1"/>
  <c r="AI19" i="30" a="1"/>
  <c r="AH19" i="30" a="1"/>
  <c r="AG19" i="30" a="1"/>
  <c r="AF19" i="30" a="1"/>
  <c r="AE19" i="30" a="1"/>
  <c r="AD19" i="30" a="1"/>
  <c r="AC19" i="30" a="1"/>
  <c r="X19" i="30" a="1"/>
  <c r="W19" i="30" a="1"/>
  <c r="AB19" i="30" a="1"/>
  <c r="AA19" i="30" a="1"/>
  <c r="Z19" i="30" a="1"/>
  <c r="AS20" i="30"/>
  <c r="BA20" i="30"/>
  <c r="AX20" i="30"/>
  <c r="AR20" i="30"/>
  <c r="AZ20" i="30"/>
  <c r="AM20" i="30"/>
  <c r="AT20" i="30"/>
  <c r="AY20" i="30"/>
  <c r="AU20" i="30"/>
  <c r="AO20" i="30"/>
  <c r="AW20" i="30"/>
  <c r="AN20" i="30"/>
  <c r="AP20" i="30"/>
  <c r="AV20" i="30"/>
  <c r="AQ20" i="30"/>
  <c r="BB20" i="30"/>
  <c r="T19" i="30" l="1"/>
  <c r="Z19" i="30"/>
  <c r="AA19" i="30"/>
  <c r="AB19" i="30"/>
  <c r="W19" i="30"/>
  <c r="X19" i="30"/>
  <c r="AC19" i="30"/>
  <c r="AD19" i="30"/>
  <c r="AE19" i="30"/>
  <c r="AF19" i="30"/>
  <c r="AG19" i="30"/>
  <c r="AH19" i="30"/>
  <c r="AI19" i="30"/>
  <c r="V19" i="30"/>
  <c r="U19" i="30"/>
  <c r="Q37" i="30"/>
  <c r="AL19" i="30"/>
  <c r="R20" i="30"/>
  <c r="T20" i="30" a="1"/>
  <c r="U20" i="30" a="1"/>
  <c r="V20" i="30" a="1"/>
  <c r="W20" i="30" a="1"/>
  <c r="X20" i="30" a="1"/>
  <c r="AC20" i="30" a="1"/>
  <c r="AD20" i="30" a="1"/>
  <c r="AI20" i="30" a="1"/>
  <c r="AH20" i="30" a="1"/>
  <c r="AG20" i="30" a="1"/>
  <c r="AF20" i="30" a="1"/>
  <c r="AE20" i="30" a="1"/>
  <c r="AB20" i="30" a="1"/>
  <c r="AA20" i="30" a="1"/>
  <c r="Z20" i="30" a="1"/>
  <c r="AY21" i="30"/>
  <c r="AO21" i="30"/>
  <c r="AZ21" i="30"/>
  <c r="BA21" i="30"/>
  <c r="AS21" i="30"/>
  <c r="AU21" i="30"/>
  <c r="AQ21" i="30"/>
  <c r="AT21" i="30"/>
  <c r="AV21" i="30"/>
  <c r="BB21" i="30"/>
  <c r="AX21" i="30"/>
  <c r="AM21" i="30"/>
  <c r="AN21" i="30"/>
  <c r="AR21" i="30"/>
  <c r="AW21" i="30"/>
  <c r="AP21" i="30"/>
  <c r="T20" i="30" l="1"/>
  <c r="Z20" i="30"/>
  <c r="AA20" i="30"/>
  <c r="AB20" i="30"/>
  <c r="AE20" i="30"/>
  <c r="AF20" i="30"/>
  <c r="AG20" i="30"/>
  <c r="AH20" i="30"/>
  <c r="AI20" i="30"/>
  <c r="AD20" i="30"/>
  <c r="AC20" i="30"/>
  <c r="X20" i="30"/>
  <c r="W20" i="30"/>
  <c r="V20" i="30"/>
  <c r="U20" i="30"/>
  <c r="Q38" i="30"/>
  <c r="AL20" i="30"/>
  <c r="R21" i="30"/>
  <c r="T21" i="30" a="1"/>
  <c r="U21" i="30" a="1"/>
  <c r="V21" i="30" a="1"/>
  <c r="AI21" i="30" a="1"/>
  <c r="AH21" i="30" a="1"/>
  <c r="AG21" i="30" a="1"/>
  <c r="AF21" i="30" a="1"/>
  <c r="AE21" i="30" a="1"/>
  <c r="AD21" i="30" a="1"/>
  <c r="AC21" i="30" a="1"/>
  <c r="X21" i="30" a="1"/>
  <c r="W21" i="30" a="1"/>
  <c r="AB21" i="30" a="1"/>
  <c r="AA21" i="30" a="1"/>
  <c r="Z21" i="30" a="1"/>
  <c r="AP22" i="30"/>
  <c r="AN22" i="30"/>
  <c r="AY22" i="30"/>
  <c r="AV22" i="30"/>
  <c r="AZ22" i="30"/>
  <c r="AX22" i="30"/>
  <c r="AR22" i="30"/>
  <c r="AU22" i="30"/>
  <c r="AM22" i="30"/>
  <c r="AS22" i="30"/>
  <c r="BA22" i="30"/>
  <c r="AO22" i="30"/>
  <c r="AT22" i="30"/>
  <c r="AW22" i="30"/>
  <c r="AQ22" i="30"/>
  <c r="BB22" i="30"/>
  <c r="T21" i="30" l="1"/>
  <c r="Z21" i="30"/>
  <c r="AA21" i="30"/>
  <c r="AB21" i="30"/>
  <c r="W21" i="30"/>
  <c r="X21" i="30"/>
  <c r="AC21" i="30"/>
  <c r="AD21" i="30"/>
  <c r="AE21" i="30"/>
  <c r="AF21" i="30"/>
  <c r="AG21" i="30"/>
  <c r="AH21" i="30"/>
  <c r="AI21" i="30"/>
  <c r="V21" i="30"/>
  <c r="U21" i="30"/>
  <c r="Q39" i="30"/>
  <c r="AL21" i="30"/>
  <c r="R22" i="30"/>
  <c r="T22" i="30" a="1"/>
  <c r="U22" i="30" a="1"/>
  <c r="V22" i="30" a="1"/>
  <c r="AD22" i="30" a="1"/>
  <c r="AC22" i="30" a="1"/>
  <c r="X22" i="30" a="1"/>
  <c r="W22" i="30" a="1"/>
  <c r="AI22" i="30" a="1"/>
  <c r="AH22" i="30" a="1"/>
  <c r="AG22" i="30" a="1"/>
  <c r="AF22" i="30" a="1"/>
  <c r="AE22" i="30" a="1"/>
  <c r="AB22" i="30" a="1"/>
  <c r="AA22" i="30" a="1"/>
  <c r="Z22" i="30" a="1"/>
  <c r="AY23" i="30"/>
  <c r="AO23" i="30"/>
  <c r="AT23" i="30"/>
  <c r="AM23" i="30"/>
  <c r="AP23" i="30"/>
  <c r="AW23" i="30"/>
  <c r="BA23" i="30"/>
  <c r="AS23" i="30"/>
  <c r="AN23" i="30"/>
  <c r="AR23" i="30"/>
  <c r="AQ23" i="30"/>
  <c r="AX23" i="30"/>
  <c r="AU23" i="30"/>
  <c r="AZ23" i="30"/>
  <c r="AV23" i="30"/>
  <c r="BB23" i="30"/>
  <c r="T22" i="30" l="1"/>
  <c r="Z22" i="30"/>
  <c r="AA22" i="30"/>
  <c r="AB22" i="30"/>
  <c r="AE22" i="30"/>
  <c r="AF22" i="30"/>
  <c r="AG22" i="30"/>
  <c r="AH22" i="30"/>
  <c r="AI22" i="30"/>
  <c r="W22" i="30"/>
  <c r="X22" i="30"/>
  <c r="AC22" i="30"/>
  <c r="AD22" i="30"/>
  <c r="V22" i="30"/>
  <c r="U22" i="30"/>
  <c r="Q40" i="30"/>
  <c r="AL22" i="30"/>
  <c r="R23" i="30"/>
  <c r="T23" i="30" a="1"/>
  <c r="U23" i="30" a="1"/>
  <c r="V23" i="30" a="1"/>
  <c r="AI23" i="30" a="1"/>
  <c r="AH23" i="30" a="1"/>
  <c r="AG23" i="30" a="1"/>
  <c r="AF23" i="30" a="1"/>
  <c r="AE23" i="30" a="1"/>
  <c r="AD23" i="30" a="1"/>
  <c r="AC23" i="30" a="1"/>
  <c r="AB23" i="30" a="1"/>
  <c r="X23" i="30" a="1"/>
  <c r="W23" i="30" a="1"/>
  <c r="AA23" i="30" a="1"/>
  <c r="Z23" i="30" a="1"/>
  <c r="AM24" i="30"/>
  <c r="BB24" i="30"/>
  <c r="AR24" i="30"/>
  <c r="AU24" i="30"/>
  <c r="AN24" i="30"/>
  <c r="AT24" i="30"/>
  <c r="AS24" i="30"/>
  <c r="AZ24" i="30"/>
  <c r="AP24" i="30"/>
  <c r="AW24" i="30"/>
  <c r="BA24" i="30"/>
  <c r="AY24" i="30"/>
  <c r="AO24" i="30"/>
  <c r="AQ24" i="30"/>
  <c r="AV24" i="30"/>
  <c r="AX24" i="30"/>
  <c r="T23" i="30" l="1"/>
  <c r="Z23" i="30"/>
  <c r="AA23" i="30"/>
  <c r="W23" i="30"/>
  <c r="X23" i="30"/>
  <c r="AB23" i="30"/>
  <c r="AC23" i="30"/>
  <c r="AD23" i="30"/>
  <c r="AE23" i="30"/>
  <c r="AF23" i="30"/>
  <c r="AG23" i="30"/>
  <c r="AH23" i="30"/>
  <c r="AI23" i="30"/>
  <c r="V23" i="30"/>
  <c r="U23" i="30"/>
  <c r="Q41" i="30"/>
  <c r="AL23" i="30"/>
  <c r="R24" i="30"/>
  <c r="T24" i="30" a="1"/>
  <c r="U24" i="30" a="1"/>
  <c r="V24" i="30" a="1"/>
  <c r="X24" i="30" a="1"/>
  <c r="W24" i="30" a="1"/>
  <c r="AI24" i="30" a="1"/>
  <c r="AH24" i="30" a="1"/>
  <c r="AG24" i="30" a="1"/>
  <c r="AF24" i="30" a="1"/>
  <c r="AE24" i="30" a="1"/>
  <c r="AD24" i="30" a="1"/>
  <c r="AC24" i="30" a="1"/>
  <c r="AB24" i="30" a="1"/>
  <c r="AA24" i="30" a="1"/>
  <c r="Z24" i="30" a="1"/>
  <c r="BB25" i="30"/>
  <c r="AZ25" i="30"/>
  <c r="BA25" i="30"/>
  <c r="AT25" i="30"/>
  <c r="AS25" i="30"/>
  <c r="AY25" i="30"/>
  <c r="AM25" i="30"/>
  <c r="AN25" i="30"/>
  <c r="AX25" i="30"/>
  <c r="AV25" i="30"/>
  <c r="AP25" i="30"/>
  <c r="AR25" i="30"/>
  <c r="AU25" i="30"/>
  <c r="AO25" i="30"/>
  <c r="AW25" i="30"/>
  <c r="AQ25" i="30"/>
  <c r="T24" i="30" l="1"/>
  <c r="Z24" i="30"/>
  <c r="AA24" i="30"/>
  <c r="AB24" i="30"/>
  <c r="AC24" i="30"/>
  <c r="AD24" i="30"/>
  <c r="AE24" i="30"/>
  <c r="AF24" i="30"/>
  <c r="AG24" i="30"/>
  <c r="AH24" i="30"/>
  <c r="AI24" i="30"/>
  <c r="W24" i="30"/>
  <c r="X24" i="30"/>
  <c r="V24" i="30"/>
  <c r="U24" i="30"/>
  <c r="Q42" i="30"/>
  <c r="AL24" i="30"/>
  <c r="R25" i="30"/>
  <c r="T25" i="30" a="1"/>
  <c r="U25" i="30" a="1"/>
  <c r="V25" i="30" a="1"/>
  <c r="AI25" i="30" a="1"/>
  <c r="AH25" i="30" a="1"/>
  <c r="AG25" i="30" a="1"/>
  <c r="AF25" i="30" a="1"/>
  <c r="AE25" i="30" a="1"/>
  <c r="AD25" i="30" a="1"/>
  <c r="AC25" i="30" a="1"/>
  <c r="AB25" i="30" a="1"/>
  <c r="X25" i="30" a="1"/>
  <c r="W25" i="30" a="1"/>
  <c r="AA25" i="30" a="1"/>
  <c r="Z25" i="30" a="1"/>
  <c r="AO26" i="30"/>
  <c r="AS26" i="30"/>
  <c r="AU26" i="30"/>
  <c r="AV26" i="30"/>
  <c r="AX26" i="30"/>
  <c r="AY26" i="30"/>
  <c r="AT26" i="30"/>
  <c r="AZ26" i="30"/>
  <c r="AP26" i="30"/>
  <c r="AR26" i="30"/>
  <c r="AQ26" i="30"/>
  <c r="BB26" i="30"/>
  <c r="AW26" i="30"/>
  <c r="AN26" i="30"/>
  <c r="AM26" i="30"/>
  <c r="BA26" i="30"/>
  <c r="T25" i="30" l="1"/>
  <c r="Z25" i="30"/>
  <c r="AA25" i="30"/>
  <c r="W25" i="30"/>
  <c r="X25" i="30"/>
  <c r="AB25" i="30"/>
  <c r="AC25" i="30"/>
  <c r="AD25" i="30"/>
  <c r="AE25" i="30"/>
  <c r="AF25" i="30"/>
  <c r="AG25" i="30"/>
  <c r="AH25" i="30"/>
  <c r="AI25" i="30"/>
  <c r="V25" i="30"/>
  <c r="U25" i="30"/>
  <c r="Q43" i="30"/>
  <c r="AL25" i="30"/>
  <c r="R26" i="30"/>
  <c r="T26" i="30" a="1"/>
  <c r="U26" i="30" a="1"/>
  <c r="V26" i="30" a="1"/>
  <c r="AI26" i="30" a="1"/>
  <c r="AH26" i="30" a="1"/>
  <c r="AG26" i="30" a="1"/>
  <c r="AF26" i="30" a="1"/>
  <c r="AE26" i="30" a="1"/>
  <c r="AD26" i="30" a="1"/>
  <c r="AC26" i="30" a="1"/>
  <c r="AB26" i="30" a="1"/>
  <c r="X26" i="30" a="1"/>
  <c r="W26" i="30" a="1"/>
  <c r="AA26" i="30" a="1"/>
  <c r="Z26" i="30" a="1"/>
  <c r="AP27" i="30"/>
  <c r="BB27" i="30"/>
  <c r="AO27" i="30"/>
  <c r="AR27" i="30"/>
  <c r="AV27" i="30"/>
  <c r="AS27" i="30"/>
  <c r="AM27" i="30"/>
  <c r="AZ27" i="30"/>
  <c r="BA27" i="30"/>
  <c r="AX27" i="30"/>
  <c r="AT27" i="30"/>
  <c r="AQ27" i="30"/>
  <c r="AY27" i="30"/>
  <c r="AU27" i="30"/>
  <c r="AW27" i="30"/>
  <c r="AN27" i="30"/>
  <c r="T26" i="30" l="1"/>
  <c r="Z26" i="30"/>
  <c r="AA26" i="30"/>
  <c r="W26" i="30"/>
  <c r="X26" i="30"/>
  <c r="AB26" i="30"/>
  <c r="AC26" i="30"/>
  <c r="AD26" i="30"/>
  <c r="AE26" i="30"/>
  <c r="AF26" i="30"/>
  <c r="AG26" i="30"/>
  <c r="AH26" i="30"/>
  <c r="AI26" i="30"/>
  <c r="V26" i="30"/>
  <c r="U26" i="30"/>
  <c r="Q44" i="30"/>
  <c r="AL26" i="30"/>
  <c r="R27" i="30"/>
  <c r="T27" i="30" a="1"/>
  <c r="U27" i="30" a="1"/>
  <c r="V27" i="30" a="1"/>
  <c r="AG27" i="30" a="1"/>
  <c r="AF27" i="30" a="1"/>
  <c r="AE27" i="30" a="1"/>
  <c r="AD27" i="30" a="1"/>
  <c r="AC27" i="30" a="1"/>
  <c r="AB27" i="30" a="1"/>
  <c r="X27" i="30" a="1"/>
  <c r="W27" i="30" a="1"/>
  <c r="AI27" i="30" a="1"/>
  <c r="AH27" i="30" a="1"/>
  <c r="AA27" i="30" a="1"/>
  <c r="Z27" i="30" a="1"/>
  <c r="AZ28" i="30"/>
  <c r="AO28" i="30"/>
  <c r="AN28" i="30"/>
  <c r="AU28" i="30"/>
  <c r="AW28" i="30"/>
  <c r="AS28" i="30"/>
  <c r="AT28" i="30"/>
  <c r="BA28" i="30"/>
  <c r="AM28" i="30"/>
  <c r="AR28" i="30"/>
  <c r="AP28" i="30"/>
  <c r="AX28" i="30"/>
  <c r="AV28" i="30"/>
  <c r="AY28" i="30"/>
  <c r="AQ28" i="30"/>
  <c r="BB28" i="30"/>
  <c r="T27" i="30" l="1"/>
  <c r="Z27" i="30"/>
  <c r="AA27" i="30"/>
  <c r="AH27" i="30"/>
  <c r="AI27" i="30"/>
  <c r="W27" i="30"/>
  <c r="X27" i="30"/>
  <c r="AB27" i="30"/>
  <c r="AC27" i="30"/>
  <c r="AD27" i="30"/>
  <c r="AE27" i="30"/>
  <c r="AF27" i="30"/>
  <c r="AG27" i="30"/>
  <c r="V27" i="30"/>
  <c r="U27" i="30"/>
  <c r="Q45" i="30"/>
  <c r="AL27" i="30"/>
  <c r="R28" i="30"/>
  <c r="T28" i="30" a="1"/>
  <c r="U28" i="30" a="1"/>
  <c r="V28" i="30" a="1"/>
  <c r="AI28" i="30" a="1"/>
  <c r="AH28" i="30" a="1"/>
  <c r="AG28" i="30" a="1"/>
  <c r="AF28" i="30" a="1"/>
  <c r="AE28" i="30" a="1"/>
  <c r="AD28" i="30" a="1"/>
  <c r="AC28" i="30" a="1"/>
  <c r="AB28" i="30" a="1"/>
  <c r="X28" i="30" a="1"/>
  <c r="W28" i="30" a="1"/>
  <c r="AA28" i="30" a="1"/>
  <c r="Z28" i="30" a="1"/>
  <c r="AY29" i="30"/>
  <c r="BB29" i="30"/>
  <c r="AP29" i="30"/>
  <c r="AN29" i="30"/>
  <c r="AU29" i="30"/>
  <c r="AZ29" i="30"/>
  <c r="AO29" i="30"/>
  <c r="AX29" i="30"/>
  <c r="AR29" i="30"/>
  <c r="AM29" i="30"/>
  <c r="AS29" i="30"/>
  <c r="AV29" i="30"/>
  <c r="AW29" i="30"/>
  <c r="BA29" i="30"/>
  <c r="AT29" i="30"/>
  <c r="AQ29" i="30"/>
  <c r="T28" i="30" l="1"/>
  <c r="Z28" i="30"/>
  <c r="AA28" i="30"/>
  <c r="W28" i="30"/>
  <c r="X28" i="30"/>
  <c r="AB28" i="30"/>
  <c r="AC28" i="30"/>
  <c r="AD28" i="30"/>
  <c r="AE28" i="30"/>
  <c r="AF28" i="30"/>
  <c r="AG28" i="30"/>
  <c r="AH28" i="30"/>
  <c r="AI28" i="30"/>
  <c r="V28" i="30"/>
  <c r="U28" i="30"/>
  <c r="Q46" i="30"/>
  <c r="AL28" i="30"/>
  <c r="R29" i="30"/>
  <c r="T29" i="30" a="1"/>
  <c r="U29" i="30" a="1"/>
  <c r="V29" i="30" a="1"/>
  <c r="X29" i="30" a="1"/>
  <c r="AB29" i="30" a="1"/>
  <c r="AE29" i="30" a="1"/>
  <c r="AD29" i="30" a="1"/>
  <c r="AC29" i="30" a="1"/>
  <c r="W29" i="30" a="1"/>
  <c r="AI29" i="30" a="1"/>
  <c r="AH29" i="30" a="1"/>
  <c r="AG29" i="30" a="1"/>
  <c r="AF29" i="30" a="1"/>
  <c r="AA29" i="30" a="1"/>
  <c r="Z29" i="30" a="1"/>
  <c r="AZ30" i="30"/>
  <c r="AY30" i="30"/>
  <c r="AT30" i="30"/>
  <c r="AP30" i="30"/>
  <c r="AN30" i="30"/>
  <c r="AM30" i="30"/>
  <c r="AW30" i="30"/>
  <c r="AS30" i="30"/>
  <c r="AQ30" i="30"/>
  <c r="BA30" i="30"/>
  <c r="AX30" i="30"/>
  <c r="AO30" i="30"/>
  <c r="BB30" i="30"/>
  <c r="AV30" i="30"/>
  <c r="AR30" i="30"/>
  <c r="AU30" i="30"/>
  <c r="T29" i="30" l="1"/>
  <c r="Z29" i="30"/>
  <c r="AA29" i="30"/>
  <c r="AF29" i="30"/>
  <c r="AG29" i="30"/>
  <c r="AH29" i="30"/>
  <c r="AI29" i="30"/>
  <c r="W29" i="30"/>
  <c r="AC29" i="30"/>
  <c r="AD29" i="30"/>
  <c r="AE29" i="30"/>
  <c r="AB29" i="30"/>
  <c r="X29" i="30"/>
  <c r="V29" i="30"/>
  <c r="U29" i="30"/>
  <c r="Q47" i="30"/>
  <c r="AL29" i="30"/>
  <c r="R30" i="30"/>
  <c r="T30" i="30" a="1"/>
  <c r="U30" i="30" a="1"/>
  <c r="V30" i="30" a="1"/>
  <c r="AI30" i="30" a="1"/>
  <c r="AH30" i="30" a="1"/>
  <c r="AG30" i="30" a="1"/>
  <c r="AF30" i="30" a="1"/>
  <c r="AE30" i="30" a="1"/>
  <c r="AD30" i="30" a="1"/>
  <c r="AC30" i="30" a="1"/>
  <c r="AB30" i="30" a="1"/>
  <c r="X30" i="30" a="1"/>
  <c r="W30" i="30" a="1"/>
  <c r="AA30" i="30" a="1"/>
  <c r="Z30" i="30" a="1"/>
  <c r="AR31" i="30"/>
  <c r="AU31" i="30"/>
  <c r="AS31" i="30"/>
  <c r="AX31" i="30"/>
  <c r="BB31" i="30"/>
  <c r="AM31" i="30"/>
  <c r="AT31" i="30"/>
  <c r="AP31" i="30"/>
  <c r="AQ31" i="30"/>
  <c r="AZ31" i="30"/>
  <c r="AY31" i="30"/>
  <c r="AV31" i="30"/>
  <c r="AW31" i="30"/>
  <c r="BA31" i="30"/>
  <c r="AN31" i="30"/>
  <c r="AO31" i="30"/>
  <c r="T30" i="30" l="1"/>
  <c r="Z30" i="30"/>
  <c r="AA30" i="30"/>
  <c r="W30" i="30"/>
  <c r="X30" i="30"/>
  <c r="AB30" i="30"/>
  <c r="AC30" i="30"/>
  <c r="AD30" i="30"/>
  <c r="AE30" i="30"/>
  <c r="AF30" i="30"/>
  <c r="AG30" i="30"/>
  <c r="AH30" i="30"/>
  <c r="AI30" i="30"/>
  <c r="V30" i="30"/>
  <c r="U30" i="30"/>
  <c r="Q48" i="30"/>
  <c r="AL30" i="30"/>
  <c r="R31" i="30"/>
  <c r="T31" i="30" a="1"/>
  <c r="U31" i="30" a="1"/>
  <c r="V31" i="30" a="1"/>
  <c r="X31" i="30" a="1"/>
  <c r="W31" i="30" a="1"/>
  <c r="AI31" i="30" a="1"/>
  <c r="AH31" i="30" a="1"/>
  <c r="AG31" i="30" a="1"/>
  <c r="AF31" i="30" a="1"/>
  <c r="AE31" i="30" a="1"/>
  <c r="AD31" i="30" a="1"/>
  <c r="AC31" i="30" a="1"/>
  <c r="AB31" i="30" a="1"/>
  <c r="AA31" i="30" a="1"/>
  <c r="Z31" i="30" a="1"/>
  <c r="AM32" i="30"/>
  <c r="AV32" i="30"/>
  <c r="AT32" i="30"/>
  <c r="AZ32" i="30"/>
  <c r="AP32" i="30"/>
  <c r="AO32" i="30"/>
  <c r="BB32" i="30"/>
  <c r="BA32" i="30"/>
  <c r="AY32" i="30"/>
  <c r="AQ32" i="30"/>
  <c r="AN32" i="30"/>
  <c r="AU32" i="30"/>
  <c r="AX32" i="30"/>
  <c r="AS32" i="30"/>
  <c r="AR32" i="30"/>
  <c r="AW32" i="30"/>
  <c r="T31" i="30" l="1"/>
  <c r="Z31" i="30"/>
  <c r="AA31" i="30"/>
  <c r="AB31" i="30"/>
  <c r="AC31" i="30"/>
  <c r="AD31" i="30"/>
  <c r="AE31" i="30"/>
  <c r="AF31" i="30"/>
  <c r="AG31" i="30"/>
  <c r="AH31" i="30"/>
  <c r="AI31" i="30"/>
  <c r="W31" i="30"/>
  <c r="X31" i="30"/>
  <c r="V31" i="30"/>
  <c r="U31" i="30"/>
  <c r="Q49" i="30"/>
  <c r="AL31" i="30"/>
  <c r="R32" i="30"/>
  <c r="T32" i="30" a="1"/>
  <c r="U32" i="30" a="1"/>
  <c r="V32" i="30" a="1"/>
  <c r="AH32" i="30" a="1"/>
  <c r="AG32" i="30" a="1"/>
  <c r="AF32" i="30" a="1"/>
  <c r="AE32" i="30" a="1"/>
  <c r="AD32" i="30" a="1"/>
  <c r="AC32" i="30" a="1"/>
  <c r="AB32" i="30" a="1"/>
  <c r="X32" i="30" a="1"/>
  <c r="W32" i="30" a="1"/>
  <c r="AI32" i="30" a="1"/>
  <c r="AA32" i="30" a="1"/>
  <c r="Z32" i="30" a="1"/>
  <c r="AO33" i="30"/>
  <c r="AU33" i="30"/>
  <c r="AS33" i="30"/>
  <c r="AX33" i="30"/>
  <c r="AT33" i="30"/>
  <c r="BA33" i="30"/>
  <c r="AR33" i="30"/>
  <c r="AY33" i="30"/>
  <c r="AN33" i="30"/>
  <c r="AV33" i="30"/>
  <c r="AZ33" i="30"/>
  <c r="AW33" i="30"/>
  <c r="AP33" i="30"/>
  <c r="AM33" i="30"/>
  <c r="AQ33" i="30"/>
  <c r="BB33" i="30"/>
  <c r="T32" i="30" l="1"/>
  <c r="Z32" i="30"/>
  <c r="AA32" i="30"/>
  <c r="AI32" i="30"/>
  <c r="W32" i="30"/>
  <c r="X32" i="30"/>
  <c r="AB32" i="30"/>
  <c r="AC32" i="30"/>
  <c r="AD32" i="30"/>
  <c r="AE32" i="30"/>
  <c r="AF32" i="30"/>
  <c r="AG32" i="30"/>
  <c r="AH32" i="30"/>
  <c r="V32" i="30"/>
  <c r="U32" i="30"/>
  <c r="Q50" i="30"/>
  <c r="AL32" i="30"/>
  <c r="R33" i="30"/>
  <c r="T33" i="30" a="1"/>
  <c r="U33" i="30" a="1"/>
  <c r="V33" i="30" a="1"/>
  <c r="AI33" i="30" a="1"/>
  <c r="AH33" i="30" a="1"/>
  <c r="AG33" i="30" a="1"/>
  <c r="AF33" i="30" a="1"/>
  <c r="AE33" i="30" a="1"/>
  <c r="AD33" i="30" a="1"/>
  <c r="AC33" i="30" a="1"/>
  <c r="AB33" i="30" a="1"/>
  <c r="X33" i="30" a="1"/>
  <c r="W33" i="30" a="1"/>
  <c r="AA33" i="30" a="1"/>
  <c r="Z33" i="30" a="1"/>
  <c r="AR34" i="30"/>
  <c r="AP34" i="30"/>
  <c r="AM34" i="30"/>
  <c r="AN34" i="30"/>
  <c r="AS34" i="30"/>
  <c r="AX34" i="30"/>
  <c r="AT34" i="30"/>
  <c r="AO34" i="30"/>
  <c r="AY34" i="30"/>
  <c r="AW34" i="30"/>
  <c r="AZ34" i="30"/>
  <c r="AQ34" i="30"/>
  <c r="AV34" i="30"/>
  <c r="AU34" i="30"/>
  <c r="BB34" i="30"/>
  <c r="BA34" i="30"/>
  <c r="T33" i="30" l="1"/>
  <c r="Z33" i="30"/>
  <c r="AA33" i="30"/>
  <c r="W33" i="30"/>
  <c r="X33" i="30"/>
  <c r="AB33" i="30"/>
  <c r="AC33" i="30"/>
  <c r="AD33" i="30"/>
  <c r="AE33" i="30"/>
  <c r="AF33" i="30"/>
  <c r="AG33" i="30"/>
  <c r="AH33" i="30"/>
  <c r="AI33" i="30"/>
  <c r="V33" i="30"/>
  <c r="U33" i="30"/>
  <c r="Q51" i="30"/>
  <c r="AL33" i="30"/>
  <c r="R34" i="30"/>
  <c r="T34" i="30" a="1"/>
  <c r="U34" i="30" a="1"/>
  <c r="V34" i="30" a="1"/>
  <c r="AE34" i="30" a="1"/>
  <c r="AD34" i="30" a="1"/>
  <c r="AC34" i="30" a="1"/>
  <c r="AB34" i="30" a="1"/>
  <c r="X34" i="30" a="1"/>
  <c r="W34" i="30" a="1"/>
  <c r="AI34" i="30" a="1"/>
  <c r="AH34" i="30" a="1"/>
  <c r="AG34" i="30" a="1"/>
  <c r="AF34" i="30" a="1"/>
  <c r="AA34" i="30" a="1"/>
  <c r="Z34" i="30" a="1"/>
  <c r="AM35" i="30"/>
  <c r="BA35" i="30"/>
  <c r="AR35" i="30"/>
  <c r="AS35" i="30"/>
  <c r="AO35" i="30"/>
  <c r="AW35" i="30"/>
  <c r="AN35" i="30"/>
  <c r="BB35" i="30"/>
  <c r="AX35" i="30"/>
  <c r="AV35" i="30"/>
  <c r="AU35" i="30"/>
  <c r="AZ35" i="30"/>
  <c r="AT35" i="30"/>
  <c r="AY35" i="30"/>
  <c r="AP35" i="30"/>
  <c r="AQ35" i="30"/>
  <c r="T34" i="30" l="1"/>
  <c r="Z34" i="30"/>
  <c r="AA34" i="30"/>
  <c r="AF34" i="30"/>
  <c r="AG34" i="30"/>
  <c r="AH34" i="30"/>
  <c r="AI34" i="30"/>
  <c r="W34" i="30"/>
  <c r="X34" i="30"/>
  <c r="AB34" i="30"/>
  <c r="AC34" i="30"/>
  <c r="AD34" i="30"/>
  <c r="AE34" i="30"/>
  <c r="V34" i="30"/>
  <c r="U34" i="30"/>
  <c r="Q52" i="30"/>
  <c r="AL34" i="30"/>
  <c r="R35" i="30"/>
  <c r="T35" i="30" a="1"/>
  <c r="U35" i="30" a="1"/>
  <c r="V35" i="30" a="1"/>
  <c r="AI35" i="30" a="1"/>
  <c r="AH35" i="30" a="1"/>
  <c r="AG35" i="30" a="1"/>
  <c r="AF35" i="30" a="1"/>
  <c r="AE35" i="30" a="1"/>
  <c r="AD35" i="30" a="1"/>
  <c r="AC35" i="30" a="1"/>
  <c r="AB35" i="30" a="1"/>
  <c r="X35" i="30" a="1"/>
  <c r="W35" i="30" a="1"/>
  <c r="AA35" i="30" a="1"/>
  <c r="Z35" i="30" a="1"/>
  <c r="AV36" i="30"/>
  <c r="AR36" i="30"/>
  <c r="AZ36" i="30"/>
  <c r="AM36" i="30"/>
  <c r="AY36" i="30"/>
  <c r="AT36" i="30"/>
  <c r="BA36" i="30"/>
  <c r="AW36" i="30"/>
  <c r="AS36" i="30"/>
  <c r="AP36" i="30"/>
  <c r="BB36" i="30"/>
  <c r="AU36" i="30"/>
  <c r="AO36" i="30"/>
  <c r="AN36" i="30"/>
  <c r="AX36" i="30"/>
  <c r="AQ36" i="30"/>
  <c r="T35" i="30" l="1"/>
  <c r="Z35" i="30"/>
  <c r="AA35" i="30"/>
  <c r="W35" i="30"/>
  <c r="X35" i="30"/>
  <c r="AB35" i="30"/>
  <c r="AC35" i="30"/>
  <c r="AD35" i="30"/>
  <c r="AE35" i="30"/>
  <c r="AF35" i="30"/>
  <c r="AG35" i="30"/>
  <c r="AH35" i="30"/>
  <c r="AI35" i="30"/>
  <c r="V35" i="30"/>
  <c r="U35" i="30"/>
  <c r="Q53" i="30"/>
  <c r="AL35" i="30"/>
  <c r="R36" i="30"/>
  <c r="T36" i="30" a="1"/>
  <c r="U36" i="30" a="1"/>
  <c r="V36" i="30" a="1"/>
  <c r="W36" i="30" a="1"/>
  <c r="X36" i="30" a="1"/>
  <c r="AI36" i="30" a="1"/>
  <c r="AH36" i="30" a="1"/>
  <c r="AG36" i="30" a="1"/>
  <c r="AF36" i="30" a="1"/>
  <c r="AE36" i="30" a="1"/>
  <c r="AD36" i="30" a="1"/>
  <c r="AC36" i="30" a="1"/>
  <c r="AB36" i="30" a="1"/>
  <c r="AA36" i="30" a="1"/>
  <c r="Z36" i="30" a="1"/>
  <c r="AO37" i="30"/>
  <c r="AN37" i="30"/>
  <c r="AX37" i="30"/>
  <c r="AV37" i="30"/>
  <c r="BA37" i="30"/>
  <c r="AR37" i="30"/>
  <c r="AZ37" i="30"/>
  <c r="AP37" i="30"/>
  <c r="BB37" i="30"/>
  <c r="AM37" i="30"/>
  <c r="AU37" i="30"/>
  <c r="AQ37" i="30"/>
  <c r="AS37" i="30"/>
  <c r="AT37" i="30"/>
  <c r="AW37" i="30"/>
  <c r="AY37" i="30"/>
  <c r="T36" i="30" l="1"/>
  <c r="Z36" i="30"/>
  <c r="AA36" i="30"/>
  <c r="AB36" i="30"/>
  <c r="AC36" i="30"/>
  <c r="AD36" i="30"/>
  <c r="AE36" i="30"/>
  <c r="AF36" i="30"/>
  <c r="AG36" i="30"/>
  <c r="AH36" i="30"/>
  <c r="AI36" i="30"/>
  <c r="X36" i="30"/>
  <c r="W36" i="30"/>
  <c r="V36" i="30"/>
  <c r="U36" i="30"/>
  <c r="Q54" i="30"/>
  <c r="AL36" i="30"/>
  <c r="R37" i="30"/>
  <c r="T37" i="30" a="1"/>
  <c r="U37" i="30" a="1"/>
  <c r="V37" i="30" a="1"/>
  <c r="AI37" i="30" a="1"/>
  <c r="AH37" i="30" a="1"/>
  <c r="AG37" i="30" a="1"/>
  <c r="AF37" i="30" a="1"/>
  <c r="AE37" i="30" a="1"/>
  <c r="AD37" i="30" a="1"/>
  <c r="AC37" i="30" a="1"/>
  <c r="AB37" i="30" a="1"/>
  <c r="X37" i="30" a="1"/>
  <c r="W37" i="30" a="1"/>
  <c r="AA37" i="30" a="1"/>
  <c r="Z37" i="30" a="1"/>
  <c r="AM38" i="30"/>
  <c r="AV38" i="30"/>
  <c r="AY38" i="30"/>
  <c r="BB38" i="30"/>
  <c r="AN38" i="30"/>
  <c r="AX38" i="30"/>
  <c r="AP38" i="30"/>
  <c r="AW38" i="30"/>
  <c r="AS38" i="30"/>
  <c r="AZ38" i="30"/>
  <c r="AU38" i="30"/>
  <c r="AT38" i="30"/>
  <c r="BA38" i="30"/>
  <c r="AQ38" i="30"/>
  <c r="AR38" i="30"/>
  <c r="AO38" i="30"/>
  <c r="T37" i="30" l="1"/>
  <c r="Z37" i="30"/>
  <c r="AA37" i="30"/>
  <c r="W37" i="30"/>
  <c r="X37" i="30"/>
  <c r="AB37" i="30"/>
  <c r="AC37" i="30"/>
  <c r="AD37" i="30"/>
  <c r="AE37" i="30"/>
  <c r="AF37" i="30"/>
  <c r="AG37" i="30"/>
  <c r="AH37" i="30"/>
  <c r="AI37" i="30"/>
  <c r="V37" i="30"/>
  <c r="U37" i="30"/>
  <c r="Q55" i="30"/>
  <c r="AL37" i="30"/>
  <c r="R38" i="30"/>
  <c r="T38" i="30" a="1"/>
  <c r="U38" i="30" a="1"/>
  <c r="V38" i="30" a="1"/>
  <c r="AI38" i="30" a="1"/>
  <c r="AH38" i="30" a="1"/>
  <c r="AG38" i="30" a="1"/>
  <c r="AF38" i="30" a="1"/>
  <c r="AE38" i="30" a="1"/>
  <c r="AD38" i="30" a="1"/>
  <c r="AC38" i="30" a="1"/>
  <c r="AB38" i="30" a="1"/>
  <c r="X38" i="30" a="1"/>
  <c r="W38" i="30" a="1"/>
  <c r="AA38" i="30" a="1"/>
  <c r="Z38" i="30" a="1"/>
  <c r="AR39" i="30"/>
  <c r="AV39" i="30"/>
  <c r="AZ39" i="30"/>
  <c r="BA39" i="30"/>
  <c r="AP39" i="30"/>
  <c r="AT39" i="30"/>
  <c r="AX39" i="30"/>
  <c r="AU39" i="30"/>
  <c r="AM39" i="30"/>
  <c r="BB39" i="30"/>
  <c r="AW39" i="30"/>
  <c r="AS39" i="30"/>
  <c r="AO39" i="30"/>
  <c r="AN39" i="30"/>
  <c r="AY39" i="30"/>
  <c r="AQ39" i="30"/>
  <c r="T38" i="30" l="1"/>
  <c r="Z38" i="30"/>
  <c r="AA38" i="30"/>
  <c r="W38" i="30"/>
  <c r="X38" i="30"/>
  <c r="AB38" i="30"/>
  <c r="AC38" i="30"/>
  <c r="AD38" i="30"/>
  <c r="AE38" i="30"/>
  <c r="AF38" i="30"/>
  <c r="AG38" i="30"/>
  <c r="AH38" i="30"/>
  <c r="AI38" i="30"/>
  <c r="V38" i="30"/>
  <c r="U38" i="30"/>
  <c r="Q56" i="30"/>
  <c r="AL38" i="30"/>
  <c r="R39" i="30"/>
  <c r="T39" i="30" a="1"/>
  <c r="U39" i="30" a="1"/>
  <c r="V39" i="30" a="1"/>
  <c r="AF39" i="30" a="1"/>
  <c r="AE39" i="30" a="1"/>
  <c r="AD39" i="30" a="1"/>
  <c r="AC39" i="30" a="1"/>
  <c r="AB39" i="30" a="1"/>
  <c r="X39" i="30" a="1"/>
  <c r="W39" i="30" a="1"/>
  <c r="AI39" i="30" a="1"/>
  <c r="AH39" i="30" a="1"/>
  <c r="AG39" i="30" a="1"/>
  <c r="AA39" i="30" a="1"/>
  <c r="Z39" i="30" a="1"/>
  <c r="AU40" i="30"/>
  <c r="AN40" i="30"/>
  <c r="AP40" i="30"/>
  <c r="AW40" i="30"/>
  <c r="AR40" i="30"/>
  <c r="AV40" i="30"/>
  <c r="AX40" i="30"/>
  <c r="BB40" i="30"/>
  <c r="AZ40" i="30"/>
  <c r="AT40" i="30"/>
  <c r="AO40" i="30"/>
  <c r="AS40" i="30"/>
  <c r="AM40" i="30"/>
  <c r="AY40" i="30"/>
  <c r="BA40" i="30"/>
  <c r="AQ40" i="30"/>
  <c r="T39" i="30" l="1"/>
  <c r="Z39" i="30"/>
  <c r="AA39" i="30"/>
  <c r="AG39" i="30"/>
  <c r="AH39" i="30"/>
  <c r="AI39" i="30"/>
  <c r="W39" i="30"/>
  <c r="X39" i="30"/>
  <c r="AB39" i="30"/>
  <c r="AC39" i="30"/>
  <c r="AD39" i="30"/>
  <c r="AE39" i="30"/>
  <c r="AF39" i="30"/>
  <c r="V39" i="30"/>
  <c r="U39" i="30"/>
  <c r="Q57" i="30"/>
  <c r="AL39" i="30"/>
  <c r="R40" i="30"/>
  <c r="T40" i="30" a="1"/>
  <c r="U40" i="30" a="1"/>
  <c r="V40" i="30" a="1"/>
  <c r="AI40" i="30" a="1"/>
  <c r="AH40" i="30" a="1"/>
  <c r="AG40" i="30" a="1"/>
  <c r="AF40" i="30" a="1"/>
  <c r="AE40" i="30" a="1"/>
  <c r="AD40" i="30" a="1"/>
  <c r="AC40" i="30" a="1"/>
  <c r="AB40" i="30" a="1"/>
  <c r="X40" i="30" a="1"/>
  <c r="W40" i="30" a="1"/>
  <c r="AA40" i="30" a="1"/>
  <c r="Z40" i="30" a="1"/>
  <c r="AP41" i="30"/>
  <c r="AU41" i="30"/>
  <c r="BB41" i="30"/>
  <c r="AR41" i="30"/>
  <c r="AM41" i="30"/>
  <c r="AV41" i="30"/>
  <c r="AY41" i="30"/>
  <c r="AW41" i="30"/>
  <c r="AQ41" i="30"/>
  <c r="AO41" i="30"/>
  <c r="AS41" i="30"/>
  <c r="AN41" i="30"/>
  <c r="AX41" i="30"/>
  <c r="AZ41" i="30"/>
  <c r="AT41" i="30"/>
  <c r="BA41" i="30"/>
  <c r="T40" i="30" l="1"/>
  <c r="Z40" i="30"/>
  <c r="AA40" i="30"/>
  <c r="W40" i="30"/>
  <c r="X40" i="30"/>
  <c r="AB40" i="30"/>
  <c r="AC40" i="30"/>
  <c r="AD40" i="30"/>
  <c r="AE40" i="30"/>
  <c r="AF40" i="30"/>
  <c r="AG40" i="30"/>
  <c r="AH40" i="30"/>
  <c r="AI40" i="30"/>
  <c r="V40" i="30"/>
  <c r="U40" i="30"/>
  <c r="Q58" i="30"/>
  <c r="AL40" i="30"/>
  <c r="R41" i="30"/>
  <c r="T41" i="30" a="1"/>
  <c r="U41" i="30" a="1"/>
  <c r="V41" i="30" a="1"/>
  <c r="AI41" i="30" a="1"/>
  <c r="AH41" i="30" a="1"/>
  <c r="AG41" i="30" a="1"/>
  <c r="AF41" i="30" a="1"/>
  <c r="AE41" i="30" a="1"/>
  <c r="AD41" i="30" a="1"/>
  <c r="AC41" i="30" a="1"/>
  <c r="AB41" i="30" a="1"/>
  <c r="X41" i="30" a="1"/>
  <c r="W41" i="30" a="1"/>
  <c r="AA41" i="30" a="1"/>
  <c r="Z41" i="30" a="1"/>
  <c r="AP42" i="30"/>
  <c r="AT42" i="30"/>
  <c r="BB42" i="30"/>
  <c r="AZ42" i="30"/>
  <c r="AU42" i="30"/>
  <c r="AO42" i="30"/>
  <c r="AV42" i="30"/>
  <c r="AQ42" i="30"/>
  <c r="BA42" i="30"/>
  <c r="AX42" i="30"/>
  <c r="AS42" i="30"/>
  <c r="AM42" i="30"/>
  <c r="AY42" i="30"/>
  <c r="AW42" i="30"/>
  <c r="AN42" i="30"/>
  <c r="AR42" i="30"/>
  <c r="T41" i="30" l="1"/>
  <c r="Z41" i="30"/>
  <c r="AA41" i="30"/>
  <c r="W41" i="30"/>
  <c r="X41" i="30"/>
  <c r="AB41" i="30"/>
  <c r="AC41" i="30"/>
  <c r="AD41" i="30"/>
  <c r="AE41" i="30"/>
  <c r="AF41" i="30"/>
  <c r="AG41" i="30"/>
  <c r="AH41" i="30"/>
  <c r="AI41" i="30"/>
  <c r="V41" i="30"/>
  <c r="U41" i="30"/>
  <c r="Q59" i="30"/>
  <c r="AL41" i="30"/>
  <c r="R42" i="30"/>
  <c r="T42" i="30" a="1"/>
  <c r="U42" i="30" a="1"/>
  <c r="V42" i="30" a="1"/>
  <c r="AC42" i="30" a="1"/>
  <c r="AB42" i="30" a="1"/>
  <c r="X42" i="30" a="1"/>
  <c r="W42" i="30" a="1"/>
  <c r="AI42" i="30" a="1"/>
  <c r="AH42" i="30" a="1"/>
  <c r="AG42" i="30" a="1"/>
  <c r="AF42" i="30" a="1"/>
  <c r="AE42" i="30" a="1"/>
  <c r="AD42" i="30" a="1"/>
  <c r="AA42" i="30" a="1"/>
  <c r="Z42" i="30" a="1"/>
  <c r="BB43" i="30"/>
  <c r="AN43" i="30"/>
  <c r="BA43" i="30"/>
  <c r="AM43" i="30"/>
  <c r="AY43" i="30"/>
  <c r="AP43" i="30"/>
  <c r="AT43" i="30"/>
  <c r="AU43" i="30"/>
  <c r="AX43" i="30"/>
  <c r="AS43" i="30"/>
  <c r="AV43" i="30"/>
  <c r="AO43" i="30"/>
  <c r="AZ43" i="30"/>
  <c r="AR43" i="30"/>
  <c r="AW43" i="30"/>
  <c r="AQ43" i="30"/>
  <c r="T42" i="30" l="1"/>
  <c r="Z42" i="30"/>
  <c r="AA42" i="30"/>
  <c r="AD42" i="30"/>
  <c r="AE42" i="30"/>
  <c r="AF42" i="30"/>
  <c r="AG42" i="30"/>
  <c r="AH42" i="30"/>
  <c r="AI42" i="30"/>
  <c r="W42" i="30"/>
  <c r="X42" i="30"/>
  <c r="AB42" i="30"/>
  <c r="AC42" i="30"/>
  <c r="V42" i="30"/>
  <c r="U42" i="30"/>
  <c r="Q60" i="30"/>
  <c r="AL42" i="30"/>
  <c r="R43" i="30"/>
  <c r="T43" i="30" a="1"/>
  <c r="U43" i="30" a="1"/>
  <c r="V43" i="30" a="1"/>
  <c r="AH43" i="30" a="1"/>
  <c r="AG43" i="30" a="1"/>
  <c r="AF43" i="30" a="1"/>
  <c r="AE43" i="30" a="1"/>
  <c r="AD43" i="30" a="1"/>
  <c r="AC43" i="30" a="1"/>
  <c r="AB43" i="30" a="1"/>
  <c r="X43" i="30" a="1"/>
  <c r="W43" i="30" a="1"/>
  <c r="AI43" i="30" a="1"/>
  <c r="AA43" i="30" a="1"/>
  <c r="Z43" i="30" a="1"/>
  <c r="AT44" i="30"/>
  <c r="AV44" i="30"/>
  <c r="AX44" i="30"/>
  <c r="AO44" i="30"/>
  <c r="AW44" i="30"/>
  <c r="AN44" i="30"/>
  <c r="BB44" i="30"/>
  <c r="AS44" i="30"/>
  <c r="AY44" i="30"/>
  <c r="AU44" i="30"/>
  <c r="BA44" i="30"/>
  <c r="AR44" i="30"/>
  <c r="AZ44" i="30"/>
  <c r="AP44" i="30"/>
  <c r="AM44" i="30"/>
  <c r="AQ44" i="30"/>
  <c r="T43" i="30" l="1"/>
  <c r="Z43" i="30"/>
  <c r="AA43" i="30"/>
  <c r="AI43" i="30"/>
  <c r="W43" i="30"/>
  <c r="X43" i="30"/>
  <c r="AB43" i="30"/>
  <c r="AC43" i="30"/>
  <c r="AD43" i="30"/>
  <c r="AE43" i="30"/>
  <c r="AF43" i="30"/>
  <c r="AG43" i="30"/>
  <c r="AH43" i="30"/>
  <c r="V43" i="30"/>
  <c r="U43" i="30"/>
  <c r="Q61" i="30"/>
  <c r="AL43" i="30"/>
  <c r="R44" i="30"/>
  <c r="T44" i="30" a="1"/>
  <c r="U44" i="30" a="1"/>
  <c r="V44" i="30" a="1"/>
  <c r="AI44" i="30" a="1"/>
  <c r="AH44" i="30" a="1"/>
  <c r="AG44" i="30" a="1"/>
  <c r="AF44" i="30" a="1"/>
  <c r="AE44" i="30" a="1"/>
  <c r="AD44" i="30" a="1"/>
  <c r="AC44" i="30" a="1"/>
  <c r="AB44" i="30" a="1"/>
  <c r="X44" i="30" a="1"/>
  <c r="W44" i="30" a="1"/>
  <c r="AA44" i="30" a="1"/>
  <c r="Z44" i="30" a="1"/>
  <c r="AN45" i="30"/>
  <c r="AO45" i="30"/>
  <c r="AS45" i="30"/>
  <c r="AX45" i="30"/>
  <c r="AW45" i="30"/>
  <c r="AR45" i="30"/>
  <c r="AP45" i="30"/>
  <c r="BA45" i="30"/>
  <c r="AV45" i="30"/>
  <c r="AU45" i="30"/>
  <c r="AM45" i="30"/>
  <c r="AT45" i="30"/>
  <c r="AZ45" i="30"/>
  <c r="AY45" i="30"/>
  <c r="AQ45" i="30"/>
  <c r="BB45" i="30"/>
  <c r="T44" i="30" l="1"/>
  <c r="Z44" i="30"/>
  <c r="AA44" i="30"/>
  <c r="W44" i="30"/>
  <c r="X44" i="30"/>
  <c r="AB44" i="30"/>
  <c r="AC44" i="30"/>
  <c r="AD44" i="30"/>
  <c r="AE44" i="30"/>
  <c r="AF44" i="30"/>
  <c r="AG44" i="30"/>
  <c r="AH44" i="30"/>
  <c r="AI44" i="30"/>
  <c r="V44" i="30"/>
  <c r="U44" i="30"/>
  <c r="Q62" i="30"/>
  <c r="AL44" i="30"/>
  <c r="R45" i="30"/>
  <c r="T45" i="30" a="1"/>
  <c r="U45" i="30" a="1"/>
  <c r="V45" i="30" a="1"/>
  <c r="W45" i="30" a="1"/>
  <c r="X45" i="30" a="1"/>
  <c r="AI45" i="30" a="1"/>
  <c r="AH45" i="30" a="1"/>
  <c r="AG45" i="30" a="1"/>
  <c r="AF45" i="30" a="1"/>
  <c r="AE45" i="30" a="1"/>
  <c r="AD45" i="30" a="1"/>
  <c r="AB45" i="30" a="1"/>
  <c r="AC45" i="30" a="1"/>
  <c r="AA45" i="30" a="1"/>
  <c r="Z45" i="30" a="1"/>
  <c r="AT46" i="30"/>
  <c r="AR46" i="30"/>
  <c r="AW46" i="30"/>
  <c r="AO46" i="30"/>
  <c r="AQ46" i="30"/>
  <c r="BB46" i="30"/>
  <c r="AU46" i="30"/>
  <c r="AS46" i="30"/>
  <c r="AN46" i="30"/>
  <c r="AM46" i="30"/>
  <c r="BA46" i="30"/>
  <c r="AY46" i="30"/>
  <c r="AZ46" i="30"/>
  <c r="AX46" i="30"/>
  <c r="AV46" i="30"/>
  <c r="AP46" i="30"/>
  <c r="T45" i="30" l="1"/>
  <c r="Z45" i="30"/>
  <c r="AA45" i="30"/>
  <c r="AC45" i="30"/>
  <c r="AB45" i="30"/>
  <c r="AD45" i="30"/>
  <c r="AE45" i="30"/>
  <c r="AF45" i="30"/>
  <c r="AG45" i="30"/>
  <c r="AH45" i="30"/>
  <c r="AI45" i="30"/>
  <c r="X45" i="30"/>
  <c r="W45" i="30"/>
  <c r="V45" i="30"/>
  <c r="U45" i="30"/>
  <c r="Q63" i="30"/>
  <c r="AL45" i="30"/>
  <c r="R46" i="30"/>
  <c r="T46" i="30" a="1"/>
  <c r="U46" i="30" a="1"/>
  <c r="V46" i="30" a="1"/>
  <c r="AE46" i="30" a="1"/>
  <c r="AD46" i="30" a="1"/>
  <c r="AC46" i="30" a="1"/>
  <c r="AB46" i="30" a="1"/>
  <c r="X46" i="30" a="1"/>
  <c r="W46" i="30" a="1"/>
  <c r="AI46" i="30" a="1"/>
  <c r="AH46" i="30" a="1"/>
  <c r="AG46" i="30" a="1"/>
  <c r="AF46" i="30" a="1"/>
  <c r="AA46" i="30" a="1"/>
  <c r="Z46" i="30" a="1"/>
  <c r="AX47" i="30"/>
  <c r="AY47" i="30"/>
  <c r="AW47" i="30"/>
  <c r="AU47" i="30"/>
  <c r="AM47" i="30"/>
  <c r="AR47" i="30"/>
  <c r="AO47" i="30"/>
  <c r="BB47" i="30"/>
  <c r="AP47" i="30"/>
  <c r="AZ47" i="30"/>
  <c r="AT47" i="30"/>
  <c r="AN47" i="30"/>
  <c r="BA47" i="30"/>
  <c r="AV47" i="30"/>
  <c r="AQ47" i="30"/>
  <c r="AS47" i="30"/>
  <c r="T46" i="30" l="1"/>
  <c r="Z46" i="30"/>
  <c r="AA46" i="30"/>
  <c r="AF46" i="30"/>
  <c r="AG46" i="30"/>
  <c r="AH46" i="30"/>
  <c r="AI46" i="30"/>
  <c r="W46" i="30"/>
  <c r="X46" i="30"/>
  <c r="AB46" i="30"/>
  <c r="AC46" i="30"/>
  <c r="AD46" i="30"/>
  <c r="AE46" i="30"/>
  <c r="V46" i="30"/>
  <c r="U46" i="30"/>
  <c r="Q64" i="30"/>
  <c r="AL46" i="30"/>
  <c r="R47" i="30"/>
  <c r="T47" i="30" a="1"/>
  <c r="U47" i="30" a="1"/>
  <c r="V47" i="30" a="1"/>
  <c r="AI47" i="30" a="1"/>
  <c r="AH47" i="30" a="1"/>
  <c r="AG47" i="30" a="1"/>
  <c r="AF47" i="30" a="1"/>
  <c r="AE47" i="30" a="1"/>
  <c r="AD47" i="30" a="1"/>
  <c r="W47" i="30" a="1"/>
  <c r="AC47" i="30" a="1"/>
  <c r="AB47" i="30" a="1"/>
  <c r="X47" i="30" a="1"/>
  <c r="AA47" i="30" a="1"/>
  <c r="Z47" i="30" a="1"/>
  <c r="AS48" i="30"/>
  <c r="BA48" i="30"/>
  <c r="AR48" i="30"/>
  <c r="AZ48" i="30"/>
  <c r="AQ48" i="30"/>
  <c r="AM48" i="30"/>
  <c r="AN48" i="30"/>
  <c r="AU48" i="30"/>
  <c r="AO48" i="30"/>
  <c r="AT48" i="30"/>
  <c r="AP48" i="30"/>
  <c r="AX48" i="30"/>
  <c r="AW48" i="30"/>
  <c r="AV48" i="30"/>
  <c r="AY48" i="30"/>
  <c r="BB48" i="30"/>
  <c r="T47" i="30" l="1"/>
  <c r="Z47" i="30"/>
  <c r="AA47" i="30"/>
  <c r="X47" i="30"/>
  <c r="AB47" i="30"/>
  <c r="AC47" i="30"/>
  <c r="W47" i="30"/>
  <c r="AD47" i="30"/>
  <c r="AE47" i="30"/>
  <c r="AF47" i="30"/>
  <c r="AG47" i="30"/>
  <c r="AH47" i="30"/>
  <c r="AI47" i="30"/>
  <c r="V47" i="30"/>
  <c r="U47" i="30"/>
  <c r="Q65" i="30"/>
  <c r="AL47" i="30"/>
  <c r="R48" i="30"/>
  <c r="T48" i="30" a="1"/>
  <c r="U48" i="30" a="1"/>
  <c r="V48" i="30" a="1"/>
  <c r="AH48" i="30" a="1"/>
  <c r="AD48" i="30" a="1"/>
  <c r="AI48" i="30" a="1"/>
  <c r="AG48" i="30" a="1"/>
  <c r="AF48" i="30" a="1"/>
  <c r="AE48" i="30" a="1"/>
  <c r="AC48" i="30" a="1"/>
  <c r="AB48" i="30" a="1"/>
  <c r="AA48" i="30" a="1"/>
  <c r="X48" i="30" a="1"/>
  <c r="W48" i="30" a="1"/>
  <c r="Z48" i="30" a="1"/>
  <c r="AV49" i="30"/>
  <c r="AN49" i="30"/>
  <c r="AS49" i="30"/>
  <c r="AT49" i="30"/>
  <c r="AQ49" i="30"/>
  <c r="AW49" i="30"/>
  <c r="AP49" i="30"/>
  <c r="BB49" i="30"/>
  <c r="AO49" i="30"/>
  <c r="AM49" i="30"/>
  <c r="AZ49" i="30"/>
  <c r="AY49" i="30"/>
  <c r="AX49" i="30"/>
  <c r="BA49" i="30"/>
  <c r="AR49" i="30"/>
  <c r="AU49" i="30"/>
  <c r="T48" i="30" l="1"/>
  <c r="Z48" i="30"/>
  <c r="W48" i="30"/>
  <c r="X48" i="30"/>
  <c r="AA48" i="30"/>
  <c r="AB48" i="30"/>
  <c r="AC48" i="30"/>
  <c r="AE48" i="30"/>
  <c r="AF48" i="30"/>
  <c r="AG48" i="30"/>
  <c r="AI48" i="30"/>
  <c r="AD48" i="30"/>
  <c r="AH48" i="30"/>
  <c r="V48" i="30"/>
  <c r="U48" i="30"/>
  <c r="Q66" i="30"/>
  <c r="AL48" i="30"/>
  <c r="R49" i="30"/>
  <c r="T49" i="30" a="1"/>
  <c r="U49" i="30" a="1"/>
  <c r="V49" i="30" a="1"/>
  <c r="AH49" i="30" a="1"/>
  <c r="AA49" i="30" a="1"/>
  <c r="X49" i="30" a="1"/>
  <c r="W49" i="30" a="1"/>
  <c r="AI49" i="30" a="1"/>
  <c r="AG49" i="30" a="1"/>
  <c r="AF49" i="30" a="1"/>
  <c r="AE49" i="30" a="1"/>
  <c r="AD49" i="30" a="1"/>
  <c r="AC49" i="30" a="1"/>
  <c r="AB49" i="30" a="1"/>
  <c r="Z49" i="30" a="1"/>
  <c r="BA50" i="30"/>
  <c r="AV50" i="30"/>
  <c r="BB50" i="30"/>
  <c r="AP50" i="30"/>
  <c r="AZ50" i="30"/>
  <c r="AR50" i="30"/>
  <c r="AU50" i="30"/>
  <c r="AW50" i="30"/>
  <c r="AM50" i="30"/>
  <c r="AN50" i="30"/>
  <c r="AT50" i="30"/>
  <c r="AY50" i="30"/>
  <c r="AQ50" i="30"/>
  <c r="AO50" i="30"/>
  <c r="AX50" i="30"/>
  <c r="AS50" i="30"/>
  <c r="T49" i="30" l="1"/>
  <c r="Z49" i="30"/>
  <c r="AB49" i="30"/>
  <c r="AC49" i="30"/>
  <c r="AD49" i="30"/>
  <c r="AE49" i="30"/>
  <c r="AF49" i="30"/>
  <c r="AG49" i="30"/>
  <c r="AI49" i="30"/>
  <c r="W49" i="30"/>
  <c r="X49" i="30"/>
  <c r="AA49" i="30"/>
  <c r="AH49" i="30"/>
  <c r="V49" i="30"/>
  <c r="U49" i="30"/>
  <c r="Q67" i="30"/>
  <c r="AL49" i="30"/>
  <c r="R50" i="30"/>
  <c r="T50" i="30" a="1"/>
  <c r="U50" i="30" a="1"/>
  <c r="V50" i="30" a="1"/>
  <c r="AF50" i="30" a="1"/>
  <c r="AE50" i="30" a="1"/>
  <c r="AD50" i="30" a="1"/>
  <c r="AC50" i="30" a="1"/>
  <c r="AB50" i="30" a="1"/>
  <c r="AA50" i="30" a="1"/>
  <c r="X50" i="30" a="1"/>
  <c r="W50" i="30" a="1"/>
  <c r="AI50" i="30" a="1"/>
  <c r="AG50" i="30" a="1"/>
  <c r="AH50" i="30" a="1"/>
  <c r="Z50" i="30" a="1"/>
  <c r="AO51" i="30"/>
  <c r="AV51" i="30"/>
  <c r="AW51" i="30"/>
  <c r="AQ51" i="30"/>
  <c r="AY51" i="30"/>
  <c r="AS51" i="30"/>
  <c r="AU51" i="30"/>
  <c r="AP51" i="30"/>
  <c r="AR51" i="30"/>
  <c r="AN51" i="30"/>
  <c r="AM51" i="30"/>
  <c r="AZ51" i="30"/>
  <c r="AT51" i="30"/>
  <c r="BA51" i="30"/>
  <c r="AX51" i="30"/>
  <c r="BB51" i="30"/>
  <c r="T50" i="30" l="1"/>
  <c r="Z50" i="30"/>
  <c r="AH50" i="30"/>
  <c r="AG50" i="30"/>
  <c r="AI50" i="30"/>
  <c r="W50" i="30"/>
  <c r="X50" i="30"/>
  <c r="AA50" i="30"/>
  <c r="AB50" i="30"/>
  <c r="AC50" i="30"/>
  <c r="AD50" i="30"/>
  <c r="AE50" i="30"/>
  <c r="AF50" i="30"/>
  <c r="V50" i="30"/>
  <c r="U50" i="30"/>
  <c r="Q68" i="30"/>
  <c r="AL50" i="30"/>
  <c r="R51" i="30"/>
  <c r="T51" i="30" a="1"/>
  <c r="U51" i="30" a="1"/>
  <c r="V51" i="30" a="1"/>
  <c r="AE51" i="30" a="1"/>
  <c r="AH51" i="30" a="1"/>
  <c r="AD51" i="30" a="1"/>
  <c r="AF51" i="30" a="1"/>
  <c r="AG51" i="30" a="1"/>
  <c r="AI51" i="30" a="1"/>
  <c r="AC51" i="30" a="1"/>
  <c r="AB51" i="30" a="1"/>
  <c r="AA51" i="30" a="1"/>
  <c r="X51" i="30" a="1"/>
  <c r="W51" i="30" a="1"/>
  <c r="Z51" i="30" a="1"/>
  <c r="AW52" i="30"/>
  <c r="AR52" i="30"/>
  <c r="AZ52" i="30"/>
  <c r="AX52" i="30"/>
  <c r="AO52" i="30"/>
  <c r="BA52" i="30"/>
  <c r="AY52" i="30"/>
  <c r="BB52" i="30"/>
  <c r="AN52" i="30"/>
  <c r="AS52" i="30"/>
  <c r="AV52" i="30"/>
  <c r="AT52" i="30"/>
  <c r="AQ52" i="30"/>
  <c r="AU52" i="30"/>
  <c r="AM52" i="30"/>
  <c r="AP52" i="30"/>
  <c r="T51" i="30" l="1"/>
  <c r="Z51" i="30"/>
  <c r="W51" i="30"/>
  <c r="X51" i="30"/>
  <c r="AA51" i="30"/>
  <c r="AB51" i="30"/>
  <c r="AC51" i="30"/>
  <c r="AI51" i="30"/>
  <c r="AG51" i="30"/>
  <c r="AF51" i="30"/>
  <c r="AD51" i="30"/>
  <c r="AH51" i="30"/>
  <c r="AE51" i="30"/>
  <c r="V51" i="30"/>
  <c r="U51" i="30"/>
  <c r="Q69" i="30"/>
  <c r="AL51" i="30"/>
  <c r="R52" i="30"/>
  <c r="T52" i="30" a="1"/>
  <c r="U52" i="30" a="1"/>
  <c r="V52" i="30" a="1"/>
  <c r="AI52" i="30" a="1"/>
  <c r="AH52" i="30" a="1"/>
  <c r="AD52" i="30" a="1"/>
  <c r="AG52" i="30" a="1"/>
  <c r="AF52" i="30" a="1"/>
  <c r="AE52" i="30" a="1"/>
  <c r="AC52" i="30" a="1"/>
  <c r="AB52" i="30" a="1"/>
  <c r="AA52" i="30" a="1"/>
  <c r="X52" i="30" a="1"/>
  <c r="W52" i="30" a="1"/>
  <c r="Z52" i="30" a="1"/>
  <c r="AP53" i="30"/>
  <c r="BA53" i="30"/>
  <c r="AU53" i="30"/>
  <c r="AR53" i="30"/>
  <c r="AS53" i="30"/>
  <c r="AZ53" i="30"/>
  <c r="BB53" i="30"/>
  <c r="AO53" i="30"/>
  <c r="AM53" i="30"/>
  <c r="AW53" i="30"/>
  <c r="AX53" i="30"/>
  <c r="AV53" i="30"/>
  <c r="AY53" i="30"/>
  <c r="AN53" i="30"/>
  <c r="AQ53" i="30"/>
  <c r="AT53" i="30"/>
  <c r="T52" i="30" l="1"/>
  <c r="Z52" i="30"/>
  <c r="W52" i="30"/>
  <c r="X52" i="30"/>
  <c r="AA52" i="30"/>
  <c r="AB52" i="30"/>
  <c r="AC52" i="30"/>
  <c r="AE52" i="30"/>
  <c r="AF52" i="30"/>
  <c r="AG52" i="30"/>
  <c r="AD52" i="30"/>
  <c r="AH52" i="30"/>
  <c r="AI52" i="30"/>
  <c r="V52" i="30"/>
  <c r="U52" i="30"/>
  <c r="Q70" i="30"/>
  <c r="AL52" i="30"/>
  <c r="R53" i="30"/>
  <c r="T53" i="30" a="1"/>
  <c r="U53" i="30" a="1"/>
  <c r="V53" i="30" a="1"/>
  <c r="AH53" i="30" a="1"/>
  <c r="AA53" i="30" a="1"/>
  <c r="X53" i="30" a="1"/>
  <c r="W53" i="30" a="1"/>
  <c r="AI53" i="30" a="1"/>
  <c r="AG53" i="30" a="1"/>
  <c r="AF53" i="30" a="1"/>
  <c r="AD53" i="30" a="1"/>
  <c r="AE53" i="30" a="1"/>
  <c r="AC53" i="30" a="1"/>
  <c r="AB53" i="30" a="1"/>
  <c r="Z53" i="30" a="1"/>
  <c r="AT54" i="30"/>
  <c r="BB54" i="30"/>
  <c r="AM54" i="30"/>
  <c r="AQ54" i="30"/>
  <c r="AS54" i="30"/>
  <c r="AO54" i="30"/>
  <c r="AP54" i="30"/>
  <c r="BA54" i="30"/>
  <c r="AU54" i="30"/>
  <c r="AN54" i="30"/>
  <c r="AZ54" i="30"/>
  <c r="AY54" i="30"/>
  <c r="AX54" i="30"/>
  <c r="AW54" i="30"/>
  <c r="AR54" i="30"/>
  <c r="AV54" i="30"/>
  <c r="T53" i="30" l="1"/>
  <c r="Z53" i="30"/>
  <c r="AB53" i="30"/>
  <c r="AC53" i="30"/>
  <c r="AE53" i="30"/>
  <c r="AD53" i="30"/>
  <c r="AF53" i="30"/>
  <c r="AG53" i="30"/>
  <c r="AI53" i="30"/>
  <c r="W53" i="30"/>
  <c r="X53" i="30"/>
  <c r="AA53" i="30"/>
  <c r="AH53" i="30"/>
  <c r="V53" i="30"/>
  <c r="U53" i="30"/>
  <c r="Q71" i="30"/>
  <c r="AL53" i="30"/>
  <c r="R54" i="30"/>
  <c r="T54" i="30" a="1"/>
  <c r="U54" i="30" a="1"/>
  <c r="V54" i="30" a="1"/>
  <c r="AE54" i="30" a="1"/>
  <c r="AC54" i="30" a="1"/>
  <c r="AB54" i="30" a="1"/>
  <c r="AA54" i="30" a="1"/>
  <c r="X54" i="30" a="1"/>
  <c r="AF54" i="30" a="1"/>
  <c r="AD54" i="30" a="1"/>
  <c r="W54" i="30" a="1"/>
  <c r="AI54" i="30" a="1"/>
  <c r="AH54" i="30" a="1"/>
  <c r="AG54" i="30" a="1"/>
  <c r="Z54" i="30" a="1"/>
  <c r="AS55" i="30"/>
  <c r="AU55" i="30"/>
  <c r="AT55" i="30"/>
  <c r="AO55" i="30"/>
  <c r="AN55" i="30"/>
  <c r="BA55" i="30"/>
  <c r="AQ55" i="30"/>
  <c r="BB55" i="30"/>
  <c r="AM55" i="30"/>
  <c r="AV55" i="30"/>
  <c r="AR55" i="30"/>
  <c r="AY55" i="30"/>
  <c r="AW55" i="30"/>
  <c r="AP55" i="30"/>
  <c r="AX55" i="30"/>
  <c r="AZ55" i="30"/>
  <c r="T54" i="30" l="1"/>
  <c r="Z54" i="30"/>
  <c r="AG54" i="30"/>
  <c r="AH54" i="30"/>
  <c r="AI54" i="30"/>
  <c r="W54" i="30"/>
  <c r="AD54" i="30"/>
  <c r="AF54" i="30"/>
  <c r="X54" i="30"/>
  <c r="AA54" i="30"/>
  <c r="AB54" i="30"/>
  <c r="AC54" i="30"/>
  <c r="AE54" i="30"/>
  <c r="V54" i="30"/>
  <c r="U54" i="30"/>
  <c r="Q72" i="30"/>
  <c r="AL54" i="30"/>
  <c r="R55" i="30"/>
  <c r="T55" i="30" a="1"/>
  <c r="U55" i="30" a="1"/>
  <c r="V55" i="30" a="1"/>
  <c r="AI55" i="30" a="1"/>
  <c r="AH55" i="30" a="1"/>
  <c r="AG55" i="30" a="1"/>
  <c r="AF55" i="30" a="1"/>
  <c r="AD55" i="30" a="1"/>
  <c r="AE55" i="30" a="1"/>
  <c r="AC55" i="30" a="1"/>
  <c r="AB55" i="30" a="1"/>
  <c r="AA55" i="30" a="1"/>
  <c r="X55" i="30" a="1"/>
  <c r="W55" i="30" a="1"/>
  <c r="Z55" i="30" a="1"/>
  <c r="AS56" i="30"/>
  <c r="AR56" i="30"/>
  <c r="AT56" i="30"/>
  <c r="AP56" i="30"/>
  <c r="BA56" i="30"/>
  <c r="AQ56" i="30"/>
  <c r="AO56" i="30"/>
  <c r="AW56" i="30"/>
  <c r="AV56" i="30"/>
  <c r="AX56" i="30"/>
  <c r="AN56" i="30"/>
  <c r="AM56" i="30"/>
  <c r="AZ56" i="30"/>
  <c r="BB56" i="30"/>
  <c r="AU56" i="30"/>
  <c r="AY56" i="30"/>
  <c r="T55" i="30" l="1"/>
  <c r="Z55" i="30"/>
  <c r="W55" i="30"/>
  <c r="X55" i="30"/>
  <c r="AA55" i="30"/>
  <c r="AB55" i="30"/>
  <c r="AC55" i="30"/>
  <c r="AE55" i="30"/>
  <c r="AD55" i="30"/>
  <c r="AF55" i="30"/>
  <c r="AG55" i="30"/>
  <c r="AH55" i="30"/>
  <c r="AI55" i="30"/>
  <c r="V55" i="30"/>
  <c r="U55" i="30"/>
  <c r="Q73" i="30"/>
  <c r="AL55" i="30"/>
  <c r="R56" i="30"/>
  <c r="T56" i="30" a="1"/>
  <c r="U56" i="30" a="1"/>
  <c r="V56" i="30" a="1"/>
  <c r="AI56" i="30" a="1"/>
  <c r="AH56" i="30" a="1"/>
  <c r="AD56" i="30" a="1"/>
  <c r="AG56" i="30" a="1"/>
  <c r="AF56" i="30" a="1"/>
  <c r="AE56" i="30" a="1"/>
  <c r="AC56" i="30" a="1"/>
  <c r="AB56" i="30" a="1"/>
  <c r="AA56" i="30" a="1"/>
  <c r="W56" i="30" a="1"/>
  <c r="X56" i="30" a="1"/>
  <c r="Z56" i="30" a="1"/>
  <c r="AM57" i="30"/>
  <c r="BB57" i="30"/>
  <c r="AS57" i="30"/>
  <c r="AZ57" i="30"/>
  <c r="AR57" i="30"/>
  <c r="AY57" i="30"/>
  <c r="AO57" i="30"/>
  <c r="AT57" i="30"/>
  <c r="AU57" i="30"/>
  <c r="AN57" i="30"/>
  <c r="AX57" i="30"/>
  <c r="AQ57" i="30"/>
  <c r="AV57" i="30"/>
  <c r="AP57" i="30"/>
  <c r="AW57" i="30"/>
  <c r="BA57" i="30"/>
  <c r="T56" i="30" l="1"/>
  <c r="Z56" i="30"/>
  <c r="X56" i="30"/>
  <c r="W56" i="30"/>
  <c r="AA56" i="30"/>
  <c r="AB56" i="30"/>
  <c r="AC56" i="30"/>
  <c r="AE56" i="30"/>
  <c r="AF56" i="30"/>
  <c r="AG56" i="30"/>
  <c r="AD56" i="30"/>
  <c r="AH56" i="30"/>
  <c r="AI56" i="30"/>
  <c r="V56" i="30"/>
  <c r="U56" i="30"/>
  <c r="Q74" i="30"/>
  <c r="AL56" i="30"/>
  <c r="R57" i="30"/>
  <c r="T57" i="30" a="1"/>
  <c r="U57" i="30" a="1"/>
  <c r="V57" i="30" a="1"/>
  <c r="AH57" i="30" a="1"/>
  <c r="X57" i="30" a="1"/>
  <c r="W57" i="30" a="1"/>
  <c r="AA57" i="30" a="1"/>
  <c r="AI57" i="30" a="1"/>
  <c r="AG57" i="30" a="1"/>
  <c r="AF57" i="30" a="1"/>
  <c r="AE57" i="30" a="1"/>
  <c r="AD57" i="30" a="1"/>
  <c r="AC57" i="30" a="1"/>
  <c r="AB57" i="30" a="1"/>
  <c r="Z57" i="30" a="1"/>
  <c r="AX58" i="30"/>
  <c r="AW58" i="30"/>
  <c r="AV58" i="30"/>
  <c r="AT58" i="30"/>
  <c r="AY58" i="30"/>
  <c r="BB58" i="30"/>
  <c r="AM58" i="30"/>
  <c r="AO58" i="30"/>
  <c r="AS58" i="30"/>
  <c r="BA58" i="30"/>
  <c r="AR58" i="30"/>
  <c r="AU58" i="30"/>
  <c r="AQ58" i="30"/>
  <c r="AN58" i="30"/>
  <c r="AP58" i="30"/>
  <c r="AZ58" i="30"/>
  <c r="T57" i="30" l="1"/>
  <c r="Z57" i="30"/>
  <c r="AB57" i="30"/>
  <c r="AC57" i="30"/>
  <c r="AD57" i="30"/>
  <c r="AE57" i="30"/>
  <c r="AF57" i="30"/>
  <c r="AG57" i="30"/>
  <c r="AI57" i="30"/>
  <c r="AA57" i="30"/>
  <c r="W57" i="30"/>
  <c r="X57" i="30"/>
  <c r="AH57" i="30"/>
  <c r="V57" i="30"/>
  <c r="U57" i="30"/>
  <c r="Q75" i="30"/>
  <c r="AL57" i="30"/>
  <c r="R58" i="30"/>
  <c r="T58" i="30" a="1"/>
  <c r="U58" i="30" a="1"/>
  <c r="V58" i="30" a="1"/>
  <c r="AI58" i="30" a="1"/>
  <c r="AF58" i="30" a="1"/>
  <c r="AE58" i="30" a="1"/>
  <c r="AD58" i="30" a="1"/>
  <c r="AB58" i="30" a="1"/>
  <c r="X58" i="30" a="1"/>
  <c r="AC58" i="30" a="1"/>
  <c r="AA58" i="30" a="1"/>
  <c r="W58" i="30" a="1"/>
  <c r="AH58" i="30" a="1"/>
  <c r="AG58" i="30" a="1"/>
  <c r="Z58" i="30" a="1"/>
  <c r="AN59" i="30"/>
  <c r="AO59" i="30"/>
  <c r="AS59" i="30"/>
  <c r="AW59" i="30"/>
  <c r="AM59" i="30"/>
  <c r="AZ59" i="30"/>
  <c r="AR59" i="30"/>
  <c r="AX59" i="30"/>
  <c r="AU59" i="30"/>
  <c r="AY59" i="30"/>
  <c r="AV59" i="30"/>
  <c r="AP59" i="30"/>
  <c r="BA59" i="30"/>
  <c r="BB59" i="30"/>
  <c r="AT59" i="30"/>
  <c r="AQ59" i="30"/>
  <c r="T58" i="30" l="1"/>
  <c r="Z58" i="30"/>
  <c r="AG58" i="30"/>
  <c r="AH58" i="30"/>
  <c r="W58" i="30"/>
  <c r="AA58" i="30"/>
  <c r="AC58" i="30"/>
  <c r="X58" i="30"/>
  <c r="AB58" i="30"/>
  <c r="AD58" i="30"/>
  <c r="AE58" i="30"/>
  <c r="AF58" i="30"/>
  <c r="AI58" i="30"/>
  <c r="V58" i="30"/>
  <c r="U58" i="30"/>
  <c r="Q76" i="30"/>
  <c r="AL58" i="30"/>
  <c r="R59" i="30"/>
  <c r="T59" i="30" a="1"/>
  <c r="U59" i="30" a="1"/>
  <c r="V59" i="30" a="1"/>
  <c r="AI59" i="30" a="1"/>
  <c r="AH59" i="30" a="1"/>
  <c r="AG59" i="30" a="1"/>
  <c r="AF59" i="30" a="1"/>
  <c r="AE59" i="30" a="1"/>
  <c r="AD59" i="30" a="1"/>
  <c r="AC59" i="30" a="1"/>
  <c r="AB59" i="30" a="1"/>
  <c r="AA59" i="30" a="1"/>
  <c r="X59" i="30" a="1"/>
  <c r="W59" i="30" a="1"/>
  <c r="Z59" i="30" a="1"/>
  <c r="AR60" i="30"/>
  <c r="BA60" i="30"/>
  <c r="AS60" i="30"/>
  <c r="AZ60" i="30"/>
  <c r="AX60" i="30"/>
  <c r="BB60" i="30"/>
  <c r="AT60" i="30"/>
  <c r="AQ60" i="30"/>
  <c r="AM60" i="30"/>
  <c r="AP60" i="30"/>
  <c r="AW60" i="30"/>
  <c r="AV60" i="30"/>
  <c r="AO60" i="30"/>
  <c r="AN60" i="30"/>
  <c r="AY60" i="30"/>
  <c r="AU60" i="30"/>
  <c r="T59" i="30" l="1"/>
  <c r="Z59" i="30"/>
  <c r="W59" i="30"/>
  <c r="X59" i="30"/>
  <c r="AA59" i="30"/>
  <c r="AB59" i="30"/>
  <c r="AC59" i="30"/>
  <c r="AD59" i="30"/>
  <c r="AE59" i="30"/>
  <c r="AF59" i="30"/>
  <c r="AG59" i="30"/>
  <c r="AH59" i="30"/>
  <c r="AI59" i="30"/>
  <c r="V59" i="30"/>
  <c r="U59" i="30"/>
  <c r="Q77" i="30"/>
  <c r="AL59" i="30"/>
  <c r="R60" i="30"/>
  <c r="T60" i="30" a="1"/>
  <c r="U60" i="30" a="1"/>
  <c r="V60" i="30" a="1"/>
  <c r="AA60" i="30" a="1"/>
  <c r="AH60" i="30" a="1"/>
  <c r="AD60" i="30" a="1"/>
  <c r="AI60" i="30" a="1"/>
  <c r="AG60" i="30" a="1"/>
  <c r="AF60" i="30" a="1"/>
  <c r="AE60" i="30" a="1"/>
  <c r="AC60" i="30" a="1"/>
  <c r="AB60" i="30" a="1"/>
  <c r="X60" i="30" a="1"/>
  <c r="W60" i="30" a="1"/>
  <c r="Z60" i="30" a="1"/>
  <c r="AU61" i="30"/>
  <c r="AP61" i="30"/>
  <c r="AM61" i="30"/>
  <c r="BB61" i="30"/>
  <c r="AW61" i="30"/>
  <c r="AN61" i="30"/>
  <c r="AO61" i="30"/>
  <c r="AV61" i="30"/>
  <c r="AT61" i="30"/>
  <c r="AS61" i="30"/>
  <c r="AR61" i="30"/>
  <c r="AY61" i="30"/>
  <c r="BA61" i="30"/>
  <c r="AX61" i="30"/>
  <c r="AQ61" i="30"/>
  <c r="AZ61" i="30"/>
  <c r="T60" i="30" l="1"/>
  <c r="Z60" i="30"/>
  <c r="W60" i="30"/>
  <c r="X60" i="30"/>
  <c r="AB60" i="30"/>
  <c r="AC60" i="30"/>
  <c r="AE60" i="30"/>
  <c r="AF60" i="30"/>
  <c r="AG60" i="30"/>
  <c r="AI60" i="30"/>
  <c r="AD60" i="30"/>
  <c r="AH60" i="30"/>
  <c r="AA60" i="30"/>
  <c r="V60" i="30"/>
  <c r="U60" i="30"/>
  <c r="Q78" i="30"/>
  <c r="AL60" i="30"/>
  <c r="R61" i="30"/>
  <c r="T61" i="30" a="1"/>
  <c r="U61" i="30" a="1"/>
  <c r="V61" i="30" a="1"/>
  <c r="AH61" i="30" a="1"/>
  <c r="AF61" i="30" a="1"/>
  <c r="AA61" i="30" a="1"/>
  <c r="X61" i="30" a="1"/>
  <c r="W61" i="30" a="1"/>
  <c r="AI61" i="30" a="1"/>
  <c r="AG61" i="30" a="1"/>
  <c r="AE61" i="30" a="1"/>
  <c r="AD61" i="30" a="1"/>
  <c r="AC61" i="30" a="1"/>
  <c r="AB61" i="30" a="1"/>
  <c r="Z61" i="30" a="1"/>
  <c r="AT62" i="30"/>
  <c r="AR62" i="30"/>
  <c r="BB62" i="30"/>
  <c r="AV62" i="30"/>
  <c r="AY62" i="30"/>
  <c r="AX62" i="30"/>
  <c r="AO62" i="30"/>
  <c r="BA62" i="30"/>
  <c r="AZ62" i="30"/>
  <c r="AW62" i="30"/>
  <c r="AS62" i="30"/>
  <c r="AN62" i="30"/>
  <c r="AU62" i="30"/>
  <c r="AM62" i="30"/>
  <c r="AP62" i="30"/>
  <c r="AQ62" i="30"/>
  <c r="T61" i="30" l="1"/>
  <c r="Z61" i="30"/>
  <c r="AB61" i="30"/>
  <c r="AC61" i="30"/>
  <c r="AD61" i="30"/>
  <c r="AE61" i="30"/>
  <c r="AG61" i="30"/>
  <c r="AI61" i="30"/>
  <c r="W61" i="30"/>
  <c r="X61" i="30"/>
  <c r="AA61" i="30"/>
  <c r="AF61" i="30"/>
  <c r="AH61" i="30"/>
  <c r="V61" i="30"/>
  <c r="U61" i="30"/>
  <c r="Q79" i="30"/>
  <c r="AL61" i="30"/>
  <c r="R62" i="30"/>
  <c r="T62" i="30" a="1"/>
  <c r="U62" i="30" a="1"/>
  <c r="V62" i="30" a="1"/>
  <c r="AF62" i="30" a="1"/>
  <c r="AE62" i="30" a="1"/>
  <c r="AD62" i="30" a="1"/>
  <c r="AC62" i="30" a="1"/>
  <c r="AB62" i="30" a="1"/>
  <c r="AA62" i="30" a="1"/>
  <c r="X62" i="30" a="1"/>
  <c r="W62" i="30" a="1"/>
  <c r="AH62" i="30" a="1"/>
  <c r="AG62" i="30" a="1"/>
  <c r="AI62" i="30" a="1"/>
  <c r="Z62" i="30" a="1"/>
  <c r="BB63" i="30"/>
  <c r="AY63" i="30"/>
  <c r="AP63" i="30"/>
  <c r="AT63" i="30"/>
  <c r="AR63" i="30"/>
  <c r="AM63" i="30"/>
  <c r="AV63" i="30"/>
  <c r="AO63" i="30"/>
  <c r="BA63" i="30"/>
  <c r="AZ63" i="30"/>
  <c r="AX63" i="30"/>
  <c r="AW63" i="30"/>
  <c r="AN63" i="30"/>
  <c r="AQ63" i="30"/>
  <c r="AS63" i="30"/>
  <c r="AU63" i="30"/>
  <c r="T62" i="30" l="1"/>
  <c r="Z62" i="30"/>
  <c r="AI62" i="30"/>
  <c r="AG62" i="30"/>
  <c r="AH62" i="30"/>
  <c r="W62" i="30"/>
  <c r="X62" i="30"/>
  <c r="AA62" i="30"/>
  <c r="AB62" i="30"/>
  <c r="AC62" i="30"/>
  <c r="AD62" i="30"/>
  <c r="AE62" i="30"/>
  <c r="AF62" i="30"/>
  <c r="V62" i="30"/>
  <c r="U62" i="30"/>
  <c r="Q80" i="30"/>
  <c r="AL62" i="30"/>
  <c r="R63" i="30"/>
  <c r="T63" i="30" a="1"/>
  <c r="U63" i="30" a="1"/>
  <c r="V63" i="30" a="1"/>
  <c r="AF63" i="30" a="1"/>
  <c r="AD63" i="30" a="1"/>
  <c r="AI63" i="30" a="1"/>
  <c r="AH63" i="30" a="1"/>
  <c r="AG63" i="30" a="1"/>
  <c r="AE63" i="30" a="1"/>
  <c r="AC63" i="30" a="1"/>
  <c r="AB63" i="30" a="1"/>
  <c r="AA63" i="30" a="1"/>
  <c r="X63" i="30" a="1"/>
  <c r="W63" i="30" a="1"/>
  <c r="Z63" i="30" a="1"/>
  <c r="AT64" i="30"/>
  <c r="AV64" i="30"/>
  <c r="AS64" i="30"/>
  <c r="BA64" i="30"/>
  <c r="AY64" i="30"/>
  <c r="AQ64" i="30"/>
  <c r="AP64" i="30"/>
  <c r="AN64" i="30"/>
  <c r="AW64" i="30"/>
  <c r="AX64" i="30"/>
  <c r="AO64" i="30"/>
  <c r="AZ64" i="30"/>
  <c r="AU64" i="30"/>
  <c r="BB64" i="30"/>
  <c r="AR64" i="30"/>
  <c r="AM64" i="30"/>
  <c r="T63" i="30" l="1"/>
  <c r="Z63" i="30"/>
  <c r="W63" i="30"/>
  <c r="X63" i="30"/>
  <c r="AA63" i="30"/>
  <c r="AB63" i="30"/>
  <c r="AC63" i="30"/>
  <c r="AE63" i="30"/>
  <c r="AG63" i="30"/>
  <c r="AH63" i="30"/>
  <c r="AI63" i="30"/>
  <c r="AD63" i="30"/>
  <c r="AF63" i="30"/>
  <c r="V63" i="30"/>
  <c r="U63" i="30"/>
  <c r="Q81" i="30"/>
  <c r="AL63" i="30"/>
  <c r="R64" i="30"/>
  <c r="T64" i="30" a="1"/>
  <c r="U64" i="30" a="1"/>
  <c r="V64" i="30" a="1"/>
  <c r="AI64" i="30" a="1"/>
  <c r="AH64" i="30" a="1"/>
  <c r="AD64" i="30" a="1"/>
  <c r="AC64" i="30" a="1"/>
  <c r="AA64" i="30" a="1"/>
  <c r="AB64" i="30" a="1"/>
  <c r="AG64" i="30" a="1"/>
  <c r="AF64" i="30" a="1"/>
  <c r="AE64" i="30" a="1"/>
  <c r="W64" i="30" a="1"/>
  <c r="X64" i="30" a="1"/>
  <c r="Z64" i="30" a="1"/>
  <c r="BA65" i="30"/>
  <c r="AT65" i="30"/>
  <c r="AN65" i="30"/>
  <c r="AY65" i="30"/>
  <c r="AX65" i="30"/>
  <c r="AW65" i="30"/>
  <c r="AV65" i="30"/>
  <c r="BB65" i="30"/>
  <c r="AP65" i="30"/>
  <c r="AO65" i="30"/>
  <c r="AU65" i="30"/>
  <c r="AR65" i="30"/>
  <c r="AS65" i="30"/>
  <c r="AQ65" i="30"/>
  <c r="AM65" i="30"/>
  <c r="AZ65" i="30"/>
  <c r="T64" i="30" l="1"/>
  <c r="Z64" i="30"/>
  <c r="X64" i="30"/>
  <c r="W64" i="30"/>
  <c r="AE64" i="30"/>
  <c r="AF64" i="30"/>
  <c r="AG64" i="30"/>
  <c r="AB64" i="30"/>
  <c r="AA64" i="30"/>
  <c r="AC64" i="30"/>
  <c r="AD64" i="30"/>
  <c r="AH64" i="30"/>
  <c r="AI64" i="30"/>
  <c r="V64" i="30"/>
  <c r="U64" i="30"/>
  <c r="Q82" i="30"/>
  <c r="AL64" i="30"/>
  <c r="R65" i="30"/>
  <c r="T65" i="30" a="1"/>
  <c r="U65" i="30" a="1"/>
  <c r="V65" i="30" a="1"/>
  <c r="AA65" i="30" a="1"/>
  <c r="X65" i="30" a="1"/>
  <c r="W65" i="30" a="1"/>
  <c r="AG65" i="30" a="1"/>
  <c r="AF65" i="30" a="1"/>
  <c r="AH65" i="30" a="1"/>
  <c r="AI65" i="30" a="1"/>
  <c r="AD65" i="30" a="1"/>
  <c r="AC65" i="30" a="1"/>
  <c r="AE65" i="30" a="1"/>
  <c r="AB65" i="30" a="1"/>
  <c r="Z65" i="30" a="1"/>
  <c r="AP66" i="30"/>
  <c r="AN66" i="30"/>
  <c r="AV66" i="30"/>
  <c r="AT66" i="30"/>
  <c r="AU66" i="30"/>
  <c r="AO66" i="30"/>
  <c r="AY66" i="30"/>
  <c r="AM66" i="30"/>
  <c r="AZ66" i="30"/>
  <c r="AS66" i="30"/>
  <c r="AW66" i="30"/>
  <c r="AQ66" i="30"/>
  <c r="AX66" i="30"/>
  <c r="AR66" i="30"/>
  <c r="BA66" i="30"/>
  <c r="BB66" i="30"/>
  <c r="T65" i="30" l="1"/>
  <c r="Z65" i="30"/>
  <c r="AB65" i="30"/>
  <c r="AE65" i="30"/>
  <c r="AC65" i="30"/>
  <c r="AD65" i="30"/>
  <c r="AI65" i="30"/>
  <c r="AH65" i="30"/>
  <c r="AF65" i="30"/>
  <c r="AG65" i="30"/>
  <c r="W65" i="30"/>
  <c r="X65" i="30"/>
  <c r="AA65" i="30"/>
  <c r="V65" i="30"/>
  <c r="U65" i="30"/>
  <c r="Q83" i="30"/>
  <c r="AL65" i="30"/>
  <c r="R66" i="30"/>
  <c r="T66" i="30" a="1"/>
  <c r="U66" i="30" a="1"/>
  <c r="V66" i="30" a="1"/>
  <c r="AF66" i="30" a="1"/>
  <c r="AE66" i="30" a="1"/>
  <c r="AD66" i="30" a="1"/>
  <c r="AB66" i="30" a="1"/>
  <c r="AA66" i="30" a="1"/>
  <c r="X66" i="30" a="1"/>
  <c r="AC66" i="30" a="1"/>
  <c r="W66" i="30" a="1"/>
  <c r="AI66" i="30" a="1"/>
  <c r="AH66" i="30" a="1"/>
  <c r="AG66" i="30" a="1"/>
  <c r="Z66" i="30" a="1"/>
  <c r="BB67" i="30"/>
  <c r="AV67" i="30"/>
  <c r="AP67" i="30"/>
  <c r="AZ67" i="30"/>
  <c r="AT67" i="30"/>
  <c r="AU67" i="30"/>
  <c r="AY67" i="30"/>
  <c r="AS67" i="30"/>
  <c r="BA67" i="30"/>
  <c r="AR67" i="30"/>
  <c r="AW67" i="30"/>
  <c r="AX67" i="30"/>
  <c r="AO67" i="30"/>
  <c r="AQ67" i="30"/>
  <c r="AM67" i="30"/>
  <c r="AN67" i="30"/>
  <c r="T66" i="30" l="1"/>
  <c r="Z66" i="30"/>
  <c r="AG66" i="30"/>
  <c r="AH66" i="30"/>
  <c r="AI66" i="30"/>
  <c r="W66" i="30"/>
  <c r="AC66" i="30"/>
  <c r="X66" i="30"/>
  <c r="AA66" i="30"/>
  <c r="AB66" i="30"/>
  <c r="AD66" i="30"/>
  <c r="AE66" i="30"/>
  <c r="AF66" i="30"/>
  <c r="V66" i="30"/>
  <c r="U66" i="30"/>
  <c r="Q84" i="30"/>
  <c r="AL66" i="30"/>
  <c r="R67" i="30"/>
  <c r="T67" i="30" a="1"/>
  <c r="U67" i="30" a="1"/>
  <c r="V67" i="30" a="1"/>
  <c r="AF67" i="30" a="1"/>
  <c r="AD67" i="30" a="1"/>
  <c r="X67" i="30" a="1"/>
  <c r="W67" i="30" a="1"/>
  <c r="AG67" i="30" a="1"/>
  <c r="AI67" i="30" a="1"/>
  <c r="AE67" i="30" a="1"/>
  <c r="AH67" i="30" a="1"/>
  <c r="AC67" i="30" a="1"/>
  <c r="AB67" i="30" a="1"/>
  <c r="AA67" i="30" a="1"/>
  <c r="Z67" i="30" a="1"/>
  <c r="AO68" i="30"/>
  <c r="AU68" i="30"/>
  <c r="AV68" i="30"/>
  <c r="AP68" i="30"/>
  <c r="AX68" i="30"/>
  <c r="AY68" i="30"/>
  <c r="BA68" i="30"/>
  <c r="AW68" i="30"/>
  <c r="AZ68" i="30"/>
  <c r="AQ68" i="30"/>
  <c r="AS68" i="30"/>
  <c r="AT68" i="30"/>
  <c r="BB68" i="30"/>
  <c r="AM68" i="30"/>
  <c r="AN68" i="30"/>
  <c r="AR68" i="30"/>
  <c r="T67" i="30" l="1"/>
  <c r="Z67" i="30"/>
  <c r="AA67" i="30"/>
  <c r="AB67" i="30"/>
  <c r="AC67" i="30"/>
  <c r="AH67" i="30"/>
  <c r="AE67" i="30"/>
  <c r="AI67" i="30"/>
  <c r="AG67" i="30"/>
  <c r="W67" i="30"/>
  <c r="X67" i="30"/>
  <c r="AD67" i="30"/>
  <c r="AF67" i="30"/>
  <c r="V67" i="30"/>
  <c r="U67" i="30"/>
  <c r="Q85" i="30"/>
  <c r="AL67" i="30"/>
  <c r="R68" i="30"/>
  <c r="T68" i="30" a="1"/>
  <c r="U68" i="30" a="1"/>
  <c r="V68" i="30" a="1"/>
  <c r="AI68" i="30" a="1"/>
  <c r="AH68" i="30" a="1"/>
  <c r="AD68" i="30" a="1"/>
  <c r="AC68" i="30" a="1"/>
  <c r="AB68" i="30" a="1"/>
  <c r="AA68" i="30" a="1"/>
  <c r="AG68" i="30" a="1"/>
  <c r="AF68" i="30" a="1"/>
  <c r="AE68" i="30" a="1"/>
  <c r="X68" i="30" a="1"/>
  <c r="W68" i="30" a="1"/>
  <c r="Z68" i="30" a="1"/>
  <c r="AS69" i="30"/>
  <c r="AP69" i="30"/>
  <c r="AR69" i="30"/>
  <c r="AU69" i="30"/>
  <c r="AV69" i="30"/>
  <c r="BA69" i="30"/>
  <c r="AT69" i="30"/>
  <c r="AY69" i="30"/>
  <c r="AZ69" i="30"/>
  <c r="AM69" i="30"/>
  <c r="BB69" i="30"/>
  <c r="AO69" i="30"/>
  <c r="AN69" i="30"/>
  <c r="AW69" i="30"/>
  <c r="AQ69" i="30"/>
  <c r="AX69" i="30"/>
  <c r="T68" i="30" l="1"/>
  <c r="Z68" i="30"/>
  <c r="W68" i="30"/>
  <c r="X68" i="30"/>
  <c r="AE68" i="30"/>
  <c r="AF68" i="30"/>
  <c r="AG68" i="30"/>
  <c r="AA68" i="30"/>
  <c r="AB68" i="30"/>
  <c r="AC68" i="30"/>
  <c r="AD68" i="30"/>
  <c r="AH68" i="30"/>
  <c r="AI68" i="30"/>
  <c r="V68" i="30"/>
  <c r="U68" i="30"/>
  <c r="Q86" i="30"/>
  <c r="AL68" i="30"/>
  <c r="R69" i="30"/>
  <c r="T69" i="30" a="1"/>
  <c r="U69" i="30" a="1"/>
  <c r="V69" i="30" a="1"/>
  <c r="AA69" i="30" a="1"/>
  <c r="AH69" i="30" a="1"/>
  <c r="AG69" i="30" a="1"/>
  <c r="AF69" i="30" a="1"/>
  <c r="X69" i="30" a="1"/>
  <c r="W69" i="30" a="1"/>
  <c r="AI69" i="30" a="1"/>
  <c r="AD69" i="30" a="1"/>
  <c r="AC69" i="30" a="1"/>
  <c r="AE69" i="30" a="1"/>
  <c r="AB69" i="30" a="1"/>
  <c r="Z69" i="30" a="1"/>
  <c r="AX70" i="30"/>
  <c r="BA70" i="30"/>
  <c r="AP70" i="30"/>
  <c r="AS70" i="30"/>
  <c r="AW70" i="30"/>
  <c r="AO70" i="30"/>
  <c r="AV70" i="30"/>
  <c r="AN70" i="30"/>
  <c r="AU70" i="30"/>
  <c r="AZ70" i="30"/>
  <c r="AT70" i="30"/>
  <c r="AM70" i="30"/>
  <c r="AR70" i="30"/>
  <c r="BB70" i="30"/>
  <c r="AY70" i="30"/>
  <c r="AQ70" i="30"/>
  <c r="T69" i="30" l="1"/>
  <c r="Z69" i="30"/>
  <c r="AB69" i="30"/>
  <c r="AE69" i="30"/>
  <c r="AC69" i="30"/>
  <c r="AD69" i="30"/>
  <c r="AI69" i="30"/>
  <c r="W69" i="30"/>
  <c r="X69" i="30"/>
  <c r="AF69" i="30"/>
  <c r="AG69" i="30"/>
  <c r="AH69" i="30"/>
  <c r="AA69" i="30"/>
  <c r="V69" i="30"/>
  <c r="U69" i="30"/>
  <c r="Q87" i="30"/>
  <c r="AL69" i="30"/>
  <c r="R70" i="30"/>
  <c r="T70" i="30" a="1"/>
  <c r="U70" i="30" a="1"/>
  <c r="V70" i="30" a="1"/>
  <c r="AI70" i="30" a="1"/>
  <c r="AE70" i="30" a="1"/>
  <c r="AC70" i="30" a="1"/>
  <c r="AB70" i="30" a="1"/>
  <c r="AA70" i="30" a="1"/>
  <c r="AD70" i="30" a="1"/>
  <c r="X70" i="30" a="1"/>
  <c r="Z70" i="30" a="1"/>
  <c r="W70" i="30" a="1"/>
  <c r="AG70" i="30" a="1"/>
  <c r="AH70" i="30" a="1"/>
  <c r="AF70" i="30" a="1"/>
  <c r="AN71" i="30"/>
  <c r="AT71" i="30"/>
  <c r="AW71" i="30"/>
  <c r="AO71" i="30"/>
  <c r="AR71" i="30"/>
  <c r="AS71" i="30"/>
  <c r="AX71" i="30"/>
  <c r="BB71" i="30"/>
  <c r="AZ71" i="30"/>
  <c r="AU71" i="30"/>
  <c r="AP71" i="30"/>
  <c r="BA71" i="30"/>
  <c r="AQ71" i="30"/>
  <c r="AV71" i="30"/>
  <c r="AM71" i="30"/>
  <c r="AY71" i="30"/>
  <c r="T70" i="30" l="1"/>
  <c r="AF70" i="30"/>
  <c r="AH70" i="30"/>
  <c r="AG70" i="30"/>
  <c r="W70" i="30"/>
  <c r="Z70" i="30"/>
  <c r="X70" i="30"/>
  <c r="AD70" i="30"/>
  <c r="AA70" i="30"/>
  <c r="AB70" i="30"/>
  <c r="AC70" i="30"/>
  <c r="AE70" i="30"/>
  <c r="AI70" i="30"/>
  <c r="V70" i="30"/>
  <c r="U70" i="30"/>
  <c r="Q88" i="30"/>
  <c r="AL70" i="30"/>
  <c r="R71" i="30"/>
  <c r="T71" i="30" a="1"/>
  <c r="U71" i="30" a="1"/>
  <c r="V71" i="30" a="1"/>
  <c r="AF71" i="30" a="1"/>
  <c r="AD71" i="30" a="1"/>
  <c r="AC71" i="30" a="1"/>
  <c r="AG71" i="30" a="1"/>
  <c r="W71" i="30" a="1"/>
  <c r="AE71" i="30" a="1"/>
  <c r="AI71" i="30" a="1"/>
  <c r="AH71" i="30" a="1"/>
  <c r="AB71" i="30" a="1"/>
  <c r="AA71" i="30" a="1"/>
  <c r="Z71" i="30" a="1"/>
  <c r="X71" i="30" a="1"/>
  <c r="AP72" i="30"/>
  <c r="AM72" i="30"/>
  <c r="AY72" i="30"/>
  <c r="AX72" i="30"/>
  <c r="AU72" i="30"/>
  <c r="BA72" i="30"/>
  <c r="BB72" i="30"/>
  <c r="AZ72" i="30"/>
  <c r="AV72" i="30"/>
  <c r="AO72" i="30"/>
  <c r="AW72" i="30"/>
  <c r="AN72" i="30"/>
  <c r="AT72" i="30"/>
  <c r="AR72" i="30"/>
  <c r="AQ72" i="30"/>
  <c r="AS72" i="30"/>
  <c r="T71" i="30" l="1"/>
  <c r="X71" i="30"/>
  <c r="Z71" i="30"/>
  <c r="AA71" i="30"/>
  <c r="AB71" i="30"/>
  <c r="AH71" i="30"/>
  <c r="AI71" i="30"/>
  <c r="AE71" i="30"/>
  <c r="W71" i="30"/>
  <c r="AG71" i="30"/>
  <c r="AC71" i="30"/>
  <c r="AD71" i="30"/>
  <c r="AF71" i="30"/>
  <c r="V71" i="30"/>
  <c r="U71" i="30"/>
  <c r="Q89" i="30"/>
  <c r="AL71" i="30"/>
  <c r="R72" i="30"/>
  <c r="T72" i="30" a="1"/>
  <c r="U72" i="30" a="1"/>
  <c r="V72" i="30" a="1"/>
  <c r="AI72" i="30" a="1"/>
  <c r="AH72" i="30" a="1"/>
  <c r="AG72" i="30" a="1"/>
  <c r="AC72" i="30" a="1"/>
  <c r="AB72" i="30" a="1"/>
  <c r="AA72" i="30" a="1"/>
  <c r="Z72" i="30" a="1"/>
  <c r="X72" i="30" a="1"/>
  <c r="AF72" i="30" a="1"/>
  <c r="AE72" i="30" a="1"/>
  <c r="AD72" i="30" a="1"/>
  <c r="W72" i="30" a="1"/>
  <c r="AN73" i="30"/>
  <c r="AU73" i="30"/>
  <c r="BA73" i="30"/>
  <c r="AW73" i="30"/>
  <c r="AT73" i="30"/>
  <c r="AV73" i="30"/>
  <c r="BB73" i="30"/>
  <c r="AP73" i="30"/>
  <c r="AO73" i="30"/>
  <c r="AS73" i="30"/>
  <c r="AM73" i="30"/>
  <c r="AR73" i="30"/>
  <c r="AX73" i="30"/>
  <c r="AY73" i="30"/>
  <c r="AZ73" i="30"/>
  <c r="AQ73" i="30"/>
  <c r="T72" i="30" l="1"/>
  <c r="W72" i="30"/>
  <c r="AD72" i="30"/>
  <c r="AE72" i="30"/>
  <c r="AF72" i="30"/>
  <c r="X72" i="30"/>
  <c r="Z72" i="30"/>
  <c r="AA72" i="30"/>
  <c r="AB72" i="30"/>
  <c r="AC72" i="30"/>
  <c r="AG72" i="30"/>
  <c r="AH72" i="30"/>
  <c r="AI72" i="30"/>
  <c r="V72" i="30"/>
  <c r="U72" i="30"/>
  <c r="Q90" i="30"/>
  <c r="AL72" i="30"/>
  <c r="R73" i="30"/>
  <c r="T73" i="30" a="1"/>
  <c r="U73" i="30" a="1"/>
  <c r="V73" i="30" a="1"/>
  <c r="AD73" i="30" a="1"/>
  <c r="X73" i="30" a="1"/>
  <c r="W73" i="30" a="1"/>
  <c r="AH73" i="30" a="1"/>
  <c r="AF73" i="30" a="1"/>
  <c r="AE73" i="30" a="1"/>
  <c r="AI73" i="30" a="1"/>
  <c r="AG73" i="30" a="1"/>
  <c r="AC73" i="30" a="1"/>
  <c r="AB73" i="30" a="1"/>
  <c r="Z73" i="30" a="1"/>
  <c r="AA73" i="30" a="1"/>
  <c r="AM74" i="30"/>
  <c r="BA74" i="30"/>
  <c r="BB74" i="30"/>
  <c r="AY74" i="30"/>
  <c r="AP74" i="30"/>
  <c r="AT74" i="30"/>
  <c r="AQ74" i="30"/>
  <c r="AO74" i="30"/>
  <c r="AU74" i="30"/>
  <c r="AS74" i="30"/>
  <c r="AX74" i="30"/>
  <c r="AV74" i="30"/>
  <c r="AZ74" i="30"/>
  <c r="AN74" i="30"/>
  <c r="AR74" i="30"/>
  <c r="AW74" i="30"/>
  <c r="T73" i="30" l="1"/>
  <c r="AA73" i="30"/>
  <c r="Z73" i="30"/>
  <c r="AB73" i="30"/>
  <c r="AC73" i="30"/>
  <c r="AG73" i="30"/>
  <c r="AI73" i="30"/>
  <c r="AE73" i="30"/>
  <c r="AF73" i="30"/>
  <c r="AH73" i="30"/>
  <c r="W73" i="30"/>
  <c r="X73" i="30"/>
  <c r="AD73" i="30"/>
  <c r="V73" i="30"/>
  <c r="U73" i="30"/>
  <c r="Q91" i="30"/>
  <c r="AL73" i="30"/>
  <c r="R74" i="30"/>
  <c r="T74" i="30" a="1"/>
  <c r="U74" i="30" a="1"/>
  <c r="V74" i="30" a="1"/>
  <c r="AI74" i="30" a="1"/>
  <c r="AH74" i="30" a="1"/>
  <c r="AG74" i="30" a="1"/>
  <c r="AC74" i="30" a="1"/>
  <c r="AB74" i="30" a="1"/>
  <c r="AA74" i="30" a="1"/>
  <c r="Z74" i="30" a="1"/>
  <c r="X74" i="30" a="1"/>
  <c r="W74" i="30" a="1"/>
  <c r="AE74" i="30" a="1"/>
  <c r="AF74" i="30" a="1"/>
  <c r="AD74" i="30" a="1"/>
  <c r="AT75" i="30"/>
  <c r="AN75" i="30"/>
  <c r="AP75" i="30"/>
  <c r="AV75" i="30"/>
  <c r="AU75" i="30"/>
  <c r="AM75" i="30"/>
  <c r="AZ75" i="30"/>
  <c r="AW75" i="30"/>
  <c r="BA75" i="30"/>
  <c r="BB75" i="30"/>
  <c r="AS75" i="30"/>
  <c r="AY75" i="30"/>
  <c r="AO75" i="30"/>
  <c r="AR75" i="30"/>
  <c r="AX75" i="30"/>
  <c r="AQ75" i="30"/>
  <c r="T74" i="30" l="1"/>
  <c r="AD74" i="30"/>
  <c r="AF74" i="30"/>
  <c r="AE74" i="30"/>
  <c r="W74" i="30"/>
  <c r="X74" i="30"/>
  <c r="Z74" i="30"/>
  <c r="AA74" i="30"/>
  <c r="AB74" i="30"/>
  <c r="AC74" i="30"/>
  <c r="AG74" i="30"/>
  <c r="AH74" i="30"/>
  <c r="AI74" i="30"/>
  <c r="V74" i="30"/>
  <c r="U74" i="30"/>
  <c r="Q92" i="30"/>
  <c r="AL74" i="30"/>
  <c r="R75" i="30"/>
  <c r="T75" i="30" a="1"/>
  <c r="U75" i="30" a="1"/>
  <c r="V75" i="30" a="1"/>
  <c r="AB75" i="30" a="1"/>
  <c r="AA75" i="30" a="1"/>
  <c r="AC75" i="30" a="1"/>
  <c r="Z75" i="30" a="1"/>
  <c r="W75" i="30" a="1"/>
  <c r="AE75" i="30" a="1"/>
  <c r="AD75" i="30" a="1"/>
  <c r="AF75" i="30" a="1"/>
  <c r="AG75" i="30" a="1"/>
  <c r="X75" i="30" a="1"/>
  <c r="AI75" i="30" a="1"/>
  <c r="AH75" i="30" a="1"/>
  <c r="AN76" i="30"/>
  <c r="AS76" i="30"/>
  <c r="AX76" i="30"/>
  <c r="AR76" i="30"/>
  <c r="AV76" i="30"/>
  <c r="AM76" i="30"/>
  <c r="AY76" i="30"/>
  <c r="AP76" i="30"/>
  <c r="AT76" i="30"/>
  <c r="BA76" i="30"/>
  <c r="AZ76" i="30"/>
  <c r="AO76" i="30"/>
  <c r="BB76" i="30"/>
  <c r="AQ76" i="30"/>
  <c r="AU76" i="30"/>
  <c r="AW76" i="30"/>
  <c r="T75" i="30" l="1"/>
  <c r="AH75" i="30"/>
  <c r="AI75" i="30"/>
  <c r="X75" i="30"/>
  <c r="AG75" i="30"/>
  <c r="AF75" i="30"/>
  <c r="AD75" i="30"/>
  <c r="AE75" i="30"/>
  <c r="W75" i="30"/>
  <c r="Z75" i="30"/>
  <c r="AC75" i="30"/>
  <c r="AA75" i="30"/>
  <c r="AB75" i="30"/>
  <c r="V75" i="30"/>
  <c r="U75" i="30"/>
  <c r="Q93" i="30"/>
  <c r="AL75" i="30"/>
  <c r="R76" i="30"/>
  <c r="T76" i="30" a="1"/>
  <c r="U76" i="30" a="1"/>
  <c r="V76" i="30" a="1"/>
  <c r="AI76" i="30" a="1"/>
  <c r="AH76" i="30" a="1"/>
  <c r="AG76" i="30" a="1"/>
  <c r="AF76" i="30" a="1"/>
  <c r="AB76" i="30" a="1"/>
  <c r="AE76" i="30" a="1"/>
  <c r="X76" i="30" a="1"/>
  <c r="W76" i="30" a="1"/>
  <c r="AD76" i="30" a="1"/>
  <c r="AC76" i="30" a="1"/>
  <c r="AA76" i="30" a="1"/>
  <c r="Z76" i="30" a="1"/>
  <c r="BA77" i="30"/>
  <c r="AZ77" i="30"/>
  <c r="AX77" i="30"/>
  <c r="AT77" i="30"/>
  <c r="AY77" i="30"/>
  <c r="AW77" i="30"/>
  <c r="AN77" i="30"/>
  <c r="AU77" i="30"/>
  <c r="AV77" i="30"/>
  <c r="BB77" i="30"/>
  <c r="AR77" i="30"/>
  <c r="AQ77" i="30"/>
  <c r="AP77" i="30"/>
  <c r="AS77" i="30"/>
  <c r="AM77" i="30"/>
  <c r="AO77" i="30"/>
  <c r="T76" i="30" l="1"/>
  <c r="Z76" i="30"/>
  <c r="AA76" i="30"/>
  <c r="AC76" i="30"/>
  <c r="AD76" i="30"/>
  <c r="W76" i="30"/>
  <c r="X76" i="30"/>
  <c r="AE76" i="30"/>
  <c r="AB76" i="30"/>
  <c r="AF76" i="30"/>
  <c r="AG76" i="30"/>
  <c r="AH76" i="30"/>
  <c r="AI76" i="30"/>
  <c r="V76" i="30"/>
  <c r="U76" i="30"/>
  <c r="Q94" i="30"/>
  <c r="AL76" i="30"/>
  <c r="R77" i="30"/>
  <c r="T77" i="30" a="1"/>
  <c r="U77" i="30" a="1"/>
  <c r="V77" i="30" a="1"/>
  <c r="AD77" i="30" a="1"/>
  <c r="Z77" i="30" a="1"/>
  <c r="AF77" i="30" a="1"/>
  <c r="AC77" i="30" a="1"/>
  <c r="AA77" i="30" a="1"/>
  <c r="AH77" i="30" a="1"/>
  <c r="AB77" i="30" a="1"/>
  <c r="AI77" i="30" a="1"/>
  <c r="AG77" i="30" a="1"/>
  <c r="AE77" i="30" a="1"/>
  <c r="X77" i="30" a="1"/>
  <c r="W77" i="30" a="1"/>
  <c r="AO78" i="30"/>
  <c r="AX78" i="30"/>
  <c r="AU78" i="30"/>
  <c r="BA78" i="30"/>
  <c r="AM78" i="30"/>
  <c r="AZ78" i="30"/>
  <c r="AP78" i="30"/>
  <c r="AQ78" i="30"/>
  <c r="AR78" i="30"/>
  <c r="AS78" i="30"/>
  <c r="AN78" i="30"/>
  <c r="AV78" i="30"/>
  <c r="BB78" i="30"/>
  <c r="AY78" i="30"/>
  <c r="AT78" i="30"/>
  <c r="AW78" i="30"/>
  <c r="T77" i="30" l="1"/>
  <c r="W77" i="30"/>
  <c r="X77" i="30"/>
  <c r="AE77" i="30"/>
  <c r="AG77" i="30"/>
  <c r="AI77" i="30"/>
  <c r="AB77" i="30"/>
  <c r="AH77" i="30"/>
  <c r="AA77" i="30"/>
  <c r="AC77" i="30"/>
  <c r="AF77" i="30"/>
  <c r="Z77" i="30"/>
  <c r="AD77" i="30"/>
  <c r="V77" i="30"/>
  <c r="U77" i="30"/>
  <c r="Q95" i="30"/>
  <c r="AL77" i="30"/>
  <c r="R78" i="30"/>
  <c r="T78" i="30" a="1"/>
  <c r="U78" i="30" a="1"/>
  <c r="V78" i="30" a="1"/>
  <c r="AH78" i="30" a="1"/>
  <c r="AG78" i="30" a="1"/>
  <c r="AF78" i="30" a="1"/>
  <c r="AE78" i="30" a="1"/>
  <c r="Z78" i="30" a="1"/>
  <c r="X78" i="30" a="1"/>
  <c r="W78" i="30" a="1"/>
  <c r="AI78" i="30" a="1"/>
  <c r="AC78" i="30" a="1"/>
  <c r="AD78" i="30" a="1"/>
  <c r="AB78" i="30" a="1"/>
  <c r="AA78" i="30" a="1"/>
  <c r="AS79" i="30"/>
  <c r="AZ79" i="30"/>
  <c r="AV79" i="30"/>
  <c r="AQ79" i="30"/>
  <c r="AN79" i="30"/>
  <c r="AY79" i="30"/>
  <c r="AU79" i="30"/>
  <c r="BA79" i="30"/>
  <c r="AO79" i="30"/>
  <c r="AP79" i="30"/>
  <c r="AT79" i="30"/>
  <c r="BB79" i="30"/>
  <c r="AX79" i="30"/>
  <c r="AM79" i="30"/>
  <c r="AR79" i="30"/>
  <c r="AW79" i="30"/>
  <c r="T78" i="30" l="1"/>
  <c r="AA78" i="30"/>
  <c r="AB78" i="30"/>
  <c r="AD78" i="30"/>
  <c r="AC78" i="30"/>
  <c r="AI78" i="30"/>
  <c r="W78" i="30"/>
  <c r="X78" i="30"/>
  <c r="Z78" i="30"/>
  <c r="AE78" i="30"/>
  <c r="AF78" i="30"/>
  <c r="AG78" i="30"/>
  <c r="AH78" i="30"/>
  <c r="V78" i="30"/>
  <c r="U78" i="30"/>
  <c r="Q96" i="30"/>
  <c r="AL78" i="30"/>
  <c r="R79" i="30"/>
  <c r="T79" i="30" a="1"/>
  <c r="U79" i="30" a="1"/>
  <c r="V79" i="30" a="1"/>
  <c r="AD79" i="30" a="1"/>
  <c r="AC79" i="30" a="1"/>
  <c r="X79" i="30" a="1"/>
  <c r="W79" i="30" a="1"/>
  <c r="AA79" i="30" a="1"/>
  <c r="Z79" i="30" a="1"/>
  <c r="AI79" i="30" a="1"/>
  <c r="AH79" i="30" a="1"/>
  <c r="AB79" i="30" a="1"/>
  <c r="AE79" i="30" a="1"/>
  <c r="AG79" i="30" a="1"/>
  <c r="AF79" i="30" a="1"/>
  <c r="AY80" i="30"/>
  <c r="BA80" i="30"/>
  <c r="AO80" i="30"/>
  <c r="AM80" i="30"/>
  <c r="AT80" i="30"/>
  <c r="AP80" i="30"/>
  <c r="AU80" i="30"/>
  <c r="BB80" i="30"/>
  <c r="AX80" i="30"/>
  <c r="AR80" i="30"/>
  <c r="AS80" i="30"/>
  <c r="AV80" i="30"/>
  <c r="AQ80" i="30"/>
  <c r="AN80" i="30"/>
  <c r="AW80" i="30"/>
  <c r="AZ80" i="30"/>
  <c r="T79" i="30" l="1"/>
  <c r="AF79" i="30"/>
  <c r="AG79" i="30"/>
  <c r="AE79" i="30"/>
  <c r="AB79" i="30"/>
  <c r="AH79" i="30"/>
  <c r="AI79" i="30"/>
  <c r="Z79" i="30"/>
  <c r="AA79" i="30"/>
  <c r="W79" i="30"/>
  <c r="X79" i="30"/>
  <c r="AC79" i="30"/>
  <c r="AD79" i="30"/>
  <c r="V79" i="30"/>
  <c r="U79" i="30"/>
  <c r="Q97" i="30"/>
  <c r="AL79" i="30"/>
  <c r="R80" i="30"/>
  <c r="T80" i="30" a="1"/>
  <c r="U80" i="30" a="1"/>
  <c r="V80" i="30" a="1"/>
  <c r="AH80" i="30" a="1"/>
  <c r="AG80" i="30" a="1"/>
  <c r="AF80" i="30" a="1"/>
  <c r="AE80" i="30" a="1"/>
  <c r="AD80" i="30" a="1"/>
  <c r="W80" i="30" a="1"/>
  <c r="AC80" i="30" a="1"/>
  <c r="AB80" i="30" a="1"/>
  <c r="AA80" i="30" a="1"/>
  <c r="Z80" i="30" a="1"/>
  <c r="X80" i="30" a="1"/>
  <c r="AI80" i="30" a="1"/>
  <c r="AM81" i="30"/>
  <c r="AT81" i="30"/>
  <c r="AS81" i="30"/>
  <c r="AX81" i="30"/>
  <c r="AO81" i="30"/>
  <c r="AR81" i="30"/>
  <c r="AV81" i="30"/>
  <c r="BA81" i="30"/>
  <c r="AZ81" i="30"/>
  <c r="AU81" i="30"/>
  <c r="AW81" i="30"/>
  <c r="AP81" i="30"/>
  <c r="AQ81" i="30"/>
  <c r="BB81" i="30"/>
  <c r="AY81" i="30"/>
  <c r="AN81" i="30"/>
  <c r="T80" i="30" l="1"/>
  <c r="AI80" i="30"/>
  <c r="X80" i="30"/>
  <c r="Z80" i="30"/>
  <c r="AA80" i="30"/>
  <c r="AB80" i="30"/>
  <c r="AC80" i="30"/>
  <c r="W80" i="30"/>
  <c r="AD80" i="30"/>
  <c r="AE80" i="30"/>
  <c r="AF80" i="30"/>
  <c r="AG80" i="30"/>
  <c r="AH80" i="30"/>
  <c r="V80" i="30"/>
  <c r="U80" i="30"/>
  <c r="Q98" i="30"/>
  <c r="AL80" i="30"/>
  <c r="R81" i="30"/>
  <c r="T81" i="30" a="1"/>
  <c r="U81" i="30" a="1"/>
  <c r="V81" i="30" a="1"/>
  <c r="AA81" i="30" a="1"/>
  <c r="AB81" i="30" a="1"/>
  <c r="AD81" i="30" a="1"/>
  <c r="AF81" i="30" a="1"/>
  <c r="Z81" i="30" a="1"/>
  <c r="AH81" i="30" a="1"/>
  <c r="AG81" i="30" a="1"/>
  <c r="X81" i="30" a="1"/>
  <c r="AI81" i="30" a="1"/>
  <c r="AE81" i="30" a="1"/>
  <c r="AC81" i="30" a="1"/>
  <c r="W81" i="30" a="1"/>
  <c r="BB82" i="30"/>
  <c r="AV82" i="30"/>
  <c r="AZ82" i="30"/>
  <c r="AR82" i="30"/>
  <c r="AU82" i="30"/>
  <c r="AN82" i="30"/>
  <c r="BA82" i="30"/>
  <c r="AT82" i="30"/>
  <c r="AS82" i="30"/>
  <c r="AY82" i="30"/>
  <c r="AX82" i="30"/>
  <c r="AM82" i="30"/>
  <c r="AO82" i="30"/>
  <c r="AW82" i="30"/>
  <c r="AQ82" i="30"/>
  <c r="AP82" i="30"/>
  <c r="T81" i="30" l="1"/>
  <c r="W81" i="30"/>
  <c r="AC81" i="30"/>
  <c r="AE81" i="30"/>
  <c r="AI81" i="30"/>
  <c r="X81" i="30"/>
  <c r="AG81" i="30"/>
  <c r="AH81" i="30"/>
  <c r="Z81" i="30"/>
  <c r="AF81" i="30"/>
  <c r="AD81" i="30"/>
  <c r="AB81" i="30"/>
  <c r="AA81" i="30"/>
  <c r="V81" i="30"/>
  <c r="U81" i="30"/>
  <c r="Q99" i="30"/>
  <c r="AL81" i="30"/>
  <c r="R82" i="30"/>
  <c r="T82" i="30" a="1"/>
  <c r="U82" i="30" a="1"/>
  <c r="V82" i="30" a="1"/>
  <c r="AF82" i="30" a="1"/>
  <c r="AE82" i="30" a="1"/>
  <c r="AD82" i="30" a="1"/>
  <c r="AC82" i="30" a="1"/>
  <c r="W82" i="30" a="1"/>
  <c r="AI82" i="30" a="1"/>
  <c r="AH82" i="30" a="1"/>
  <c r="AG82" i="30" a="1"/>
  <c r="AA82" i="30" a="1"/>
  <c r="AB82" i="30" a="1"/>
  <c r="Z82" i="30" a="1"/>
  <c r="X82" i="30" a="1"/>
  <c r="AS83" i="30"/>
  <c r="AU83" i="30"/>
  <c r="AN83" i="30"/>
  <c r="AX83" i="30"/>
  <c r="AQ83" i="30"/>
  <c r="AZ83" i="30"/>
  <c r="AR83" i="30"/>
  <c r="AO83" i="30"/>
  <c r="AV83" i="30"/>
  <c r="AM83" i="30"/>
  <c r="AT83" i="30"/>
  <c r="BA83" i="30"/>
  <c r="BB83" i="30"/>
  <c r="AP83" i="30"/>
  <c r="AY83" i="30"/>
  <c r="AW83" i="30"/>
  <c r="T82" i="30" l="1"/>
  <c r="X82" i="30"/>
  <c r="Z82" i="30"/>
  <c r="AB82" i="30"/>
  <c r="AA82" i="30"/>
  <c r="AG82" i="30"/>
  <c r="AH82" i="30"/>
  <c r="AI82" i="30"/>
  <c r="W82" i="30"/>
  <c r="AC82" i="30"/>
  <c r="AD82" i="30"/>
  <c r="AE82" i="30"/>
  <c r="AF82" i="30"/>
  <c r="V82" i="30"/>
  <c r="U82" i="30"/>
  <c r="Q100" i="30"/>
  <c r="AL82" i="30"/>
  <c r="R83" i="30"/>
  <c r="T83" i="30" a="1"/>
  <c r="U83" i="30" a="1"/>
  <c r="V83" i="30" a="1"/>
  <c r="AB83" i="30" a="1"/>
  <c r="W83" i="30" a="1"/>
  <c r="Z83" i="30" a="1"/>
  <c r="X83" i="30" a="1"/>
  <c r="AA83" i="30" a="1"/>
  <c r="AG83" i="30" a="1"/>
  <c r="AI83" i="30" a="1"/>
  <c r="AH83" i="30" a="1"/>
  <c r="AC83" i="30" a="1"/>
  <c r="AF83" i="30" a="1"/>
  <c r="AE83" i="30" a="1"/>
  <c r="AD83" i="30" a="1"/>
  <c r="AU84" i="30"/>
  <c r="AY84" i="30"/>
  <c r="BB84" i="30"/>
  <c r="AQ84" i="30"/>
  <c r="AT84" i="30"/>
  <c r="AN84" i="30"/>
  <c r="AW84" i="30"/>
  <c r="AS84" i="30"/>
  <c r="AX84" i="30"/>
  <c r="AM84" i="30"/>
  <c r="BA84" i="30"/>
  <c r="AR84" i="30"/>
  <c r="AO84" i="30"/>
  <c r="AV84" i="30"/>
  <c r="AZ84" i="30"/>
  <c r="AP84" i="30"/>
  <c r="T83" i="30" l="1"/>
  <c r="AD83" i="30"/>
  <c r="AE83" i="30"/>
  <c r="AF83" i="30"/>
  <c r="AC83" i="30"/>
  <c r="AH83" i="30"/>
  <c r="AI83" i="30"/>
  <c r="AG83" i="30"/>
  <c r="AA83" i="30"/>
  <c r="X83" i="30"/>
  <c r="Z83" i="30"/>
  <c r="W83" i="30"/>
  <c r="AB83" i="30"/>
  <c r="V83" i="30"/>
  <c r="U83" i="30"/>
  <c r="Q101" i="30"/>
  <c r="AL83" i="30"/>
  <c r="R84" i="30"/>
  <c r="T84" i="30" a="1"/>
  <c r="U84" i="30" a="1"/>
  <c r="V84" i="30" a="1"/>
  <c r="AE84" i="30" a="1"/>
  <c r="AF84" i="30" a="1"/>
  <c r="AD84" i="30" a="1"/>
  <c r="AC84" i="30" a="1"/>
  <c r="AB84" i="30" a="1"/>
  <c r="AA84" i="30" a="1"/>
  <c r="Z84" i="30" a="1"/>
  <c r="X84" i="30" a="1"/>
  <c r="W84" i="30" a="1"/>
  <c r="AH84" i="30" a="1"/>
  <c r="AI84" i="30" a="1"/>
  <c r="AG84" i="30" a="1"/>
  <c r="AN85" i="30"/>
  <c r="BB85" i="30"/>
  <c r="AP85" i="30"/>
  <c r="AR85" i="30"/>
  <c r="AS85" i="30"/>
  <c r="AT85" i="30"/>
  <c r="AV85" i="30"/>
  <c r="AX85" i="30"/>
  <c r="BA85" i="30"/>
  <c r="AZ85" i="30"/>
  <c r="AU85" i="30"/>
  <c r="AW85" i="30"/>
  <c r="AO85" i="30"/>
  <c r="AM85" i="30"/>
  <c r="AQ85" i="30"/>
  <c r="AY85" i="30"/>
  <c r="T84" i="30" l="1"/>
  <c r="AG84" i="30"/>
  <c r="AI84" i="30"/>
  <c r="AH84" i="30"/>
  <c r="W84" i="30"/>
  <c r="X84" i="30"/>
  <c r="Z84" i="30"/>
  <c r="AA84" i="30"/>
  <c r="AB84" i="30"/>
  <c r="AC84" i="30"/>
  <c r="AD84" i="30"/>
  <c r="AF84" i="30"/>
  <c r="AE84" i="30"/>
  <c r="V84" i="30"/>
  <c r="U84" i="30"/>
  <c r="Q102" i="30"/>
  <c r="AL84" i="30"/>
  <c r="R85" i="30"/>
  <c r="T85" i="30" a="1"/>
  <c r="U85" i="30" a="1"/>
  <c r="V85" i="30" a="1"/>
  <c r="W85" i="30" a="1"/>
  <c r="X85" i="30" a="1"/>
  <c r="AD85" i="30" a="1"/>
  <c r="AA85" i="30" a="1"/>
  <c r="AF85" i="30" a="1"/>
  <c r="AI85" i="30" a="1"/>
  <c r="AG85" i="30" a="1"/>
  <c r="AH85" i="30" a="1"/>
  <c r="AE85" i="30" a="1"/>
  <c r="AC85" i="30" a="1"/>
  <c r="AB85" i="30" a="1"/>
  <c r="Z85" i="30" a="1"/>
  <c r="AN86" i="30"/>
  <c r="AV86" i="30"/>
  <c r="AZ86" i="30"/>
  <c r="BB86" i="30"/>
  <c r="AR86" i="30"/>
  <c r="AM86" i="30"/>
  <c r="AX86" i="30"/>
  <c r="AS86" i="30"/>
  <c r="BA86" i="30"/>
  <c r="AP86" i="30"/>
  <c r="AQ86" i="30"/>
  <c r="AO86" i="30"/>
  <c r="AT86" i="30"/>
  <c r="AW86" i="30"/>
  <c r="AU86" i="30"/>
  <c r="AY86" i="30"/>
  <c r="T85" i="30" l="1"/>
  <c r="Z85" i="30"/>
  <c r="AB85" i="30"/>
  <c r="AC85" i="30"/>
  <c r="AE85" i="30"/>
  <c r="AH85" i="30"/>
  <c r="AG85" i="30"/>
  <c r="AI85" i="30"/>
  <c r="AF85" i="30"/>
  <c r="AA85" i="30"/>
  <c r="AD85" i="30"/>
  <c r="X85" i="30"/>
  <c r="W85" i="30"/>
  <c r="V85" i="30"/>
  <c r="U85" i="30"/>
  <c r="AL85" i="30"/>
  <c r="R86" i="30"/>
  <c r="T86" i="30" a="1"/>
  <c r="U86" i="30" a="1"/>
  <c r="V86" i="30" a="1"/>
  <c r="AI86" i="30" a="1"/>
  <c r="AH86" i="30" a="1"/>
  <c r="AD86" i="30" a="1"/>
  <c r="AC86" i="30" a="1"/>
  <c r="AB86" i="30" a="1"/>
  <c r="AA86" i="30" a="1"/>
  <c r="Z86" i="30" a="1"/>
  <c r="AG86" i="30" a="1"/>
  <c r="AF86" i="30" a="1"/>
  <c r="AE86" i="30" a="1"/>
  <c r="W86" i="30" a="1"/>
  <c r="X86" i="30" a="1"/>
  <c r="AO87" i="30"/>
  <c r="AT87" i="30"/>
  <c r="AM87" i="30"/>
  <c r="AX87" i="30"/>
  <c r="AS87" i="30"/>
  <c r="AV87" i="30"/>
  <c r="AW87" i="30"/>
  <c r="BB87" i="30"/>
  <c r="AN87" i="30"/>
  <c r="AR87" i="30"/>
  <c r="AP87" i="30"/>
  <c r="AZ87" i="30"/>
  <c r="BA87" i="30"/>
  <c r="AU87" i="30"/>
  <c r="AY87" i="30"/>
  <c r="AQ87" i="30"/>
  <c r="T86" i="30" l="1"/>
  <c r="X86" i="30"/>
  <c r="W86" i="30"/>
  <c r="AE86" i="30"/>
  <c r="AF86" i="30"/>
  <c r="AG86" i="30"/>
  <c r="Z86" i="30"/>
  <c r="AA86" i="30"/>
  <c r="AB86" i="30"/>
  <c r="AC86" i="30"/>
  <c r="AD86" i="30"/>
  <c r="AH86" i="30"/>
  <c r="AI86" i="30"/>
  <c r="V86" i="30"/>
  <c r="U86" i="30"/>
  <c r="AL86" i="30"/>
  <c r="R87" i="30"/>
  <c r="T87" i="30" a="1"/>
  <c r="U87" i="30" a="1"/>
  <c r="V87" i="30" a="1"/>
  <c r="X87" i="30" a="1"/>
  <c r="W87" i="30" a="1"/>
  <c r="AG87" i="30" a="1"/>
  <c r="AF87" i="30" a="1"/>
  <c r="AE87" i="30" a="1"/>
  <c r="AD87" i="30" a="1"/>
  <c r="AI87" i="30" a="1"/>
  <c r="AH87" i="30" a="1"/>
  <c r="AC87" i="30" a="1"/>
  <c r="AA87" i="30" a="1"/>
  <c r="Z87" i="30" a="1"/>
  <c r="AB87" i="30" a="1"/>
  <c r="AT88" i="30"/>
  <c r="AO88" i="30"/>
  <c r="AX88" i="30"/>
  <c r="AV88" i="30"/>
  <c r="AU88" i="30"/>
  <c r="AW88" i="30"/>
  <c r="AR88" i="30"/>
  <c r="BA88" i="30"/>
  <c r="BB88" i="30"/>
  <c r="AP88" i="30"/>
  <c r="AM88" i="30"/>
  <c r="AN88" i="30"/>
  <c r="AQ88" i="30"/>
  <c r="AZ88" i="30"/>
  <c r="AY88" i="30"/>
  <c r="AS88" i="30"/>
  <c r="T87" i="30" l="1"/>
  <c r="AB87" i="30"/>
  <c r="Z87" i="30"/>
  <c r="AA87" i="30"/>
  <c r="AC87" i="30"/>
  <c r="AH87" i="30"/>
  <c r="AI87" i="30"/>
  <c r="AD87" i="30"/>
  <c r="AE87" i="30"/>
  <c r="AF87" i="30"/>
  <c r="AG87" i="30"/>
  <c r="W87" i="30"/>
  <c r="X87" i="30"/>
  <c r="V87" i="30"/>
  <c r="U87" i="30"/>
  <c r="AL87" i="30"/>
  <c r="R88" i="30"/>
  <c r="T88" i="30" a="1"/>
  <c r="U88" i="30" a="1"/>
  <c r="V88" i="30" a="1"/>
  <c r="Z88" i="30" a="1"/>
  <c r="AI88" i="30" a="1"/>
  <c r="AA88" i="30" a="1"/>
  <c r="X88" i="30" a="1"/>
  <c r="W88" i="30" a="1"/>
  <c r="AG88" i="30" a="1"/>
  <c r="AC88" i="30" a="1"/>
  <c r="AH88" i="30" a="1"/>
  <c r="AB88" i="30" a="1"/>
  <c r="AE88" i="30" a="1"/>
  <c r="AF88" i="30" a="1"/>
  <c r="AD88" i="30" a="1"/>
  <c r="AY89" i="30"/>
  <c r="BB89" i="30"/>
  <c r="AU89" i="30"/>
  <c r="AX89" i="30"/>
  <c r="AO89" i="30"/>
  <c r="AP89" i="30"/>
  <c r="AR89" i="30"/>
  <c r="AW89" i="30"/>
  <c r="AV89" i="30"/>
  <c r="AN89" i="30"/>
  <c r="AM89" i="30"/>
  <c r="AS89" i="30"/>
  <c r="BA89" i="30"/>
  <c r="AT89" i="30"/>
  <c r="AZ89" i="30"/>
  <c r="AQ89" i="30"/>
  <c r="T88" i="30" l="1"/>
  <c r="AD88" i="30"/>
  <c r="AF88" i="30"/>
  <c r="AE88" i="30"/>
  <c r="AB88" i="30"/>
  <c r="AH88" i="30"/>
  <c r="AC88" i="30"/>
  <c r="AG88" i="30"/>
  <c r="W88" i="30"/>
  <c r="X88" i="30"/>
  <c r="AA88" i="30"/>
  <c r="AI88" i="30"/>
  <c r="Z88" i="30"/>
  <c r="V88" i="30"/>
  <c r="U88" i="30"/>
  <c r="AL88" i="30"/>
  <c r="R89" i="30"/>
  <c r="T89" i="30" a="1"/>
  <c r="U89" i="30" a="1"/>
  <c r="V89" i="30" a="1"/>
  <c r="AI89" i="30" a="1"/>
  <c r="AH89" i="30" a="1"/>
  <c r="AG89" i="30" a="1"/>
  <c r="AB89" i="30" a="1"/>
  <c r="AC89" i="30" a="1"/>
  <c r="AA89" i="30" a="1"/>
  <c r="Z89" i="30" a="1"/>
  <c r="X89" i="30" a="1"/>
  <c r="W89" i="30" a="1"/>
  <c r="AE89" i="30" a="1"/>
  <c r="AF89" i="30" a="1"/>
  <c r="AD89" i="30" a="1"/>
  <c r="AW90" i="30"/>
  <c r="AY90" i="30"/>
  <c r="AS90" i="30"/>
  <c r="AP90" i="30"/>
  <c r="AX90" i="30"/>
  <c r="AN90" i="30"/>
  <c r="AU90" i="30"/>
  <c r="AM90" i="30"/>
  <c r="AZ90" i="30"/>
  <c r="AV90" i="30"/>
  <c r="AR90" i="30"/>
  <c r="BA90" i="30"/>
  <c r="BB90" i="30"/>
  <c r="AT90" i="30"/>
  <c r="AQ90" i="30"/>
  <c r="AO90" i="30"/>
  <c r="T89" i="30" l="1"/>
  <c r="AD89" i="30"/>
  <c r="AF89" i="30"/>
  <c r="AE89" i="30"/>
  <c r="W89" i="30"/>
  <c r="X89" i="30"/>
  <c r="Z89" i="30"/>
  <c r="AA89" i="30"/>
  <c r="AC89" i="30"/>
  <c r="AB89" i="30"/>
  <c r="AG89" i="30"/>
  <c r="AH89" i="30"/>
  <c r="AI89" i="30"/>
  <c r="V89" i="30"/>
  <c r="U89" i="30"/>
  <c r="AL89" i="30"/>
  <c r="R90" i="30"/>
  <c r="T90" i="30" a="1"/>
  <c r="U90" i="30" a="1"/>
  <c r="V90" i="30" a="1"/>
  <c r="X90" i="30" a="1"/>
  <c r="Z90" i="30" a="1"/>
  <c r="AB90" i="30" a="1"/>
  <c r="AA90" i="30" a="1"/>
  <c r="AH90" i="30" a="1"/>
  <c r="AC90" i="30" a="1"/>
  <c r="AI90" i="30" a="1"/>
  <c r="AG90" i="30" a="1"/>
  <c r="W90" i="30" a="1"/>
  <c r="AE90" i="30" a="1"/>
  <c r="AF90" i="30" a="1"/>
  <c r="AD90" i="30" a="1"/>
  <c r="AX91" i="30"/>
  <c r="AP91" i="30"/>
  <c r="AT91" i="30"/>
  <c r="AM91" i="30"/>
  <c r="AN91" i="30"/>
  <c r="AZ91" i="30"/>
  <c r="AY91" i="30"/>
  <c r="AV91" i="30"/>
  <c r="AQ91" i="30"/>
  <c r="AR91" i="30"/>
  <c r="BB91" i="30"/>
  <c r="BA91" i="30"/>
  <c r="AS91" i="30"/>
  <c r="AW91" i="30"/>
  <c r="AO91" i="30"/>
  <c r="AU91" i="30"/>
  <c r="T90" i="30" l="1"/>
  <c r="AD90" i="30"/>
  <c r="AF90" i="30"/>
  <c r="AE90" i="30"/>
  <c r="W90" i="30"/>
  <c r="AG90" i="30"/>
  <c r="AI90" i="30"/>
  <c r="AC90" i="30"/>
  <c r="AH90" i="30"/>
  <c r="AA90" i="30"/>
  <c r="AB90" i="30"/>
  <c r="Z90" i="30"/>
  <c r="X90" i="30"/>
  <c r="V90" i="30"/>
  <c r="U90" i="30"/>
  <c r="AL90" i="30"/>
  <c r="R91" i="30"/>
  <c r="T91" i="30" a="1"/>
  <c r="U91" i="30" a="1"/>
  <c r="V91" i="30" a="1"/>
  <c r="AI91" i="30" a="1"/>
  <c r="Z91" i="30" a="1"/>
  <c r="AA91" i="30" a="1"/>
  <c r="X91" i="30" a="1"/>
  <c r="AG91" i="30" a="1"/>
  <c r="AB91" i="30" a="1"/>
  <c r="AH91" i="30" a="1"/>
  <c r="AC91" i="30" a="1"/>
  <c r="W91" i="30" a="1"/>
  <c r="AF91" i="30" a="1"/>
  <c r="AE91" i="30" a="1"/>
  <c r="AD91" i="30" a="1"/>
  <c r="BB92" i="30"/>
  <c r="AT92" i="30"/>
  <c r="AO92" i="30"/>
  <c r="AM92" i="30"/>
  <c r="AR92" i="30"/>
  <c r="AY92" i="30"/>
  <c r="AU92" i="30"/>
  <c r="AP92" i="30"/>
  <c r="AS92" i="30"/>
  <c r="AW92" i="30"/>
  <c r="AQ92" i="30"/>
  <c r="AX92" i="30"/>
  <c r="AN92" i="30"/>
  <c r="BA92" i="30"/>
  <c r="AZ92" i="30"/>
  <c r="AV92" i="30"/>
  <c r="T91" i="30" l="1"/>
  <c r="AD91" i="30"/>
  <c r="AE91" i="30"/>
  <c r="AF91" i="30"/>
  <c r="W91" i="30"/>
  <c r="AC91" i="30"/>
  <c r="AH91" i="30"/>
  <c r="AB91" i="30"/>
  <c r="AG91" i="30"/>
  <c r="X91" i="30"/>
  <c r="AA91" i="30"/>
  <c r="Z91" i="30"/>
  <c r="AI91" i="30"/>
  <c r="V91" i="30"/>
  <c r="U91" i="30"/>
  <c r="AL91" i="30"/>
  <c r="R92" i="30"/>
  <c r="T92" i="30" a="1"/>
  <c r="U92" i="30" a="1"/>
  <c r="V92" i="30" a="1"/>
  <c r="AH92" i="30" a="1"/>
  <c r="AG92" i="30" a="1"/>
  <c r="AC92" i="30" a="1"/>
  <c r="AI92" i="30" a="1"/>
  <c r="AB92" i="30" a="1"/>
  <c r="Z92" i="30" a="1"/>
  <c r="X92" i="30" a="1"/>
  <c r="AA92" i="30" a="1"/>
  <c r="W92" i="30" a="1"/>
  <c r="AF92" i="30" a="1"/>
  <c r="AE92" i="30" a="1"/>
  <c r="AD92" i="30" a="1"/>
  <c r="AO93" i="30"/>
  <c r="AR93" i="30"/>
  <c r="AP93" i="30"/>
  <c r="BA93" i="30"/>
  <c r="AW93" i="30"/>
  <c r="AS93" i="30"/>
  <c r="AT93" i="30"/>
  <c r="BB93" i="30"/>
  <c r="AU93" i="30"/>
  <c r="AN93" i="30"/>
  <c r="AX93" i="30"/>
  <c r="AZ93" i="30"/>
  <c r="AM93" i="30"/>
  <c r="AQ93" i="30"/>
  <c r="AV93" i="30"/>
  <c r="AY93" i="30"/>
  <c r="T92" i="30" l="1"/>
  <c r="AD92" i="30"/>
  <c r="AE92" i="30"/>
  <c r="AF92" i="30"/>
  <c r="W92" i="30"/>
  <c r="AA92" i="30"/>
  <c r="X92" i="30"/>
  <c r="Z92" i="30"/>
  <c r="AB92" i="30"/>
  <c r="AI92" i="30"/>
  <c r="AC92" i="30"/>
  <c r="AG92" i="30"/>
  <c r="AH92" i="30"/>
  <c r="V92" i="30"/>
  <c r="U92" i="30"/>
  <c r="AL92" i="30"/>
  <c r="R93" i="30"/>
  <c r="T93" i="30" a="1"/>
  <c r="U93" i="30" a="1"/>
  <c r="V93" i="30" a="1"/>
  <c r="AA93" i="30" a="1"/>
  <c r="X93" i="30" a="1"/>
  <c r="Z93" i="30" a="1"/>
  <c r="AI93" i="30" a="1"/>
  <c r="AH93" i="30" a="1"/>
  <c r="AB93" i="30" a="1"/>
  <c r="AG93" i="30" a="1"/>
  <c r="AC93" i="30" a="1"/>
  <c r="W93" i="30" a="1"/>
  <c r="AE93" i="30" a="1"/>
  <c r="AF93" i="30" a="1"/>
  <c r="AD93" i="30" a="1"/>
  <c r="AV94" i="30"/>
  <c r="AP94" i="30"/>
  <c r="AU94" i="30"/>
  <c r="AS94" i="30"/>
  <c r="AT94" i="30"/>
  <c r="AY94" i="30"/>
  <c r="AZ94" i="30"/>
  <c r="AN94" i="30"/>
  <c r="AO94" i="30"/>
  <c r="BA94" i="30"/>
  <c r="AM94" i="30"/>
  <c r="AW94" i="30"/>
  <c r="AR94" i="30"/>
  <c r="AQ94" i="30"/>
  <c r="BB94" i="30"/>
  <c r="AX94" i="30"/>
  <c r="T93" i="30" l="1"/>
  <c r="AD93" i="30"/>
  <c r="AF93" i="30"/>
  <c r="AE93" i="30"/>
  <c r="W93" i="30"/>
  <c r="AC93" i="30"/>
  <c r="AG93" i="30"/>
  <c r="AB93" i="30"/>
  <c r="AH93" i="30"/>
  <c r="AI93" i="30"/>
  <c r="Z93" i="30"/>
  <c r="X93" i="30"/>
  <c r="AA93" i="30"/>
  <c r="V93" i="30"/>
  <c r="U93" i="30"/>
  <c r="AL93" i="30"/>
  <c r="R94" i="30"/>
  <c r="T94" i="30" a="1"/>
  <c r="U94" i="30" a="1"/>
  <c r="V94" i="30" a="1"/>
  <c r="AC94" i="30" a="1"/>
  <c r="AH94" i="30" a="1"/>
  <c r="AB94" i="30" a="1"/>
  <c r="Z94" i="30" a="1"/>
  <c r="AG94" i="30" a="1"/>
  <c r="X94" i="30" a="1"/>
  <c r="AA94" i="30" a="1"/>
  <c r="AI94" i="30" a="1"/>
  <c r="W94" i="30" a="1"/>
  <c r="AE94" i="30" a="1"/>
  <c r="AF94" i="30" a="1"/>
  <c r="AD94" i="30" a="1"/>
  <c r="AV95" i="30"/>
  <c r="AN95" i="30"/>
  <c r="AM95" i="30"/>
  <c r="AU95" i="30"/>
  <c r="BA95" i="30"/>
  <c r="AP95" i="30"/>
  <c r="AY95" i="30"/>
  <c r="AZ95" i="30"/>
  <c r="AR95" i="30"/>
  <c r="AW95" i="30"/>
  <c r="AS95" i="30"/>
  <c r="AQ95" i="30"/>
  <c r="AO95" i="30"/>
  <c r="AT95" i="30"/>
  <c r="AX95" i="30"/>
  <c r="BB95" i="30"/>
  <c r="T94" i="30" l="1"/>
  <c r="AD94" i="30"/>
  <c r="AF94" i="30"/>
  <c r="AE94" i="30"/>
  <c r="W94" i="30"/>
  <c r="AI94" i="30"/>
  <c r="AA94" i="30"/>
  <c r="X94" i="30"/>
  <c r="AG94" i="30"/>
  <c r="Z94" i="30"/>
  <c r="AB94" i="30"/>
  <c r="AH94" i="30"/>
  <c r="AC94" i="30"/>
  <c r="V94" i="30"/>
  <c r="U94" i="30"/>
  <c r="AL94" i="30"/>
  <c r="R95" i="30"/>
  <c r="T95" i="30" a="1"/>
  <c r="U95" i="30" a="1"/>
  <c r="V95" i="30" a="1"/>
  <c r="AI95" i="30" a="1"/>
  <c r="AH95" i="30" a="1"/>
  <c r="AG95" i="30" a="1"/>
  <c r="AC95" i="30" a="1"/>
  <c r="AB95" i="30" a="1"/>
  <c r="Z95" i="30" a="1"/>
  <c r="AA95" i="30" a="1"/>
  <c r="X95" i="30" a="1"/>
  <c r="W95" i="30" a="1"/>
  <c r="AF95" i="30" a="1"/>
  <c r="AE95" i="30" a="1"/>
  <c r="AD95" i="30" a="1"/>
  <c r="BA96" i="30"/>
  <c r="AZ96" i="30"/>
  <c r="AS96" i="30"/>
  <c r="AM96" i="30"/>
  <c r="AR96" i="30"/>
  <c r="AN96" i="30"/>
  <c r="AU96" i="30"/>
  <c r="AP96" i="30"/>
  <c r="BB96" i="30"/>
  <c r="AV96" i="30"/>
  <c r="AW96" i="30"/>
  <c r="AO96" i="30"/>
  <c r="AY96" i="30"/>
  <c r="AX96" i="30"/>
  <c r="AT96" i="30"/>
  <c r="AQ96" i="30"/>
  <c r="T95" i="30" l="1"/>
  <c r="AD95" i="30"/>
  <c r="AE95" i="30"/>
  <c r="AF95" i="30"/>
  <c r="W95" i="30"/>
  <c r="X95" i="30"/>
  <c r="AA95" i="30"/>
  <c r="Z95" i="30"/>
  <c r="AB95" i="30"/>
  <c r="AC95" i="30"/>
  <c r="AG95" i="30"/>
  <c r="AH95" i="30"/>
  <c r="AI95" i="30"/>
  <c r="V95" i="30"/>
  <c r="U95" i="30"/>
  <c r="AL95" i="30"/>
  <c r="R96" i="30"/>
  <c r="T96" i="30" a="1"/>
  <c r="U96" i="30" a="1"/>
  <c r="V96" i="30" a="1"/>
  <c r="X96" i="30" a="1"/>
  <c r="AI96" i="30" a="1"/>
  <c r="Z96" i="30" a="1"/>
  <c r="AG96" i="30" a="1"/>
  <c r="AC96" i="30" a="1"/>
  <c r="AH96" i="30" a="1"/>
  <c r="AB96" i="30" a="1"/>
  <c r="AA96" i="30" a="1"/>
  <c r="W96" i="30" a="1"/>
  <c r="AE96" i="30" a="1"/>
  <c r="AF96" i="30" a="1"/>
  <c r="AD96" i="30" a="1"/>
  <c r="AS97" i="30"/>
  <c r="AO97" i="30"/>
  <c r="AM97" i="30"/>
  <c r="AZ97" i="30"/>
  <c r="AX97" i="30"/>
  <c r="BA97" i="30"/>
  <c r="AQ97" i="30"/>
  <c r="AN97" i="30"/>
  <c r="AT97" i="30"/>
  <c r="AP97" i="30"/>
  <c r="AW97" i="30"/>
  <c r="AU97" i="30"/>
  <c r="BB97" i="30"/>
  <c r="AR97" i="30"/>
  <c r="AY97" i="30"/>
  <c r="AV97" i="30"/>
  <c r="T96" i="30" l="1"/>
  <c r="AD96" i="30"/>
  <c r="AF96" i="30"/>
  <c r="AE96" i="30"/>
  <c r="W96" i="30"/>
  <c r="AA96" i="30"/>
  <c r="AB96" i="30"/>
  <c r="AH96" i="30"/>
  <c r="AC96" i="30"/>
  <c r="AG96" i="30"/>
  <c r="Z96" i="30"/>
  <c r="AI96" i="30"/>
  <c r="X96" i="30"/>
  <c r="V96" i="30"/>
  <c r="U96" i="30"/>
  <c r="AL96" i="30"/>
  <c r="R97" i="30"/>
  <c r="T97" i="30" a="1"/>
  <c r="U97" i="30" a="1"/>
  <c r="V97" i="30" a="1"/>
  <c r="AG97" i="30" a="1"/>
  <c r="X97" i="30" a="1"/>
  <c r="AC97" i="30" a="1"/>
  <c r="Z97" i="30" a="1"/>
  <c r="AB97" i="30" a="1"/>
  <c r="AI97" i="30" a="1"/>
  <c r="AA97" i="30" a="1"/>
  <c r="AH97" i="30" a="1"/>
  <c r="W97" i="30" a="1"/>
  <c r="AF97" i="30" a="1"/>
  <c r="AE97" i="30" a="1"/>
  <c r="AD97" i="30" a="1"/>
  <c r="AO98" i="30"/>
  <c r="AS98" i="30"/>
  <c r="AR98" i="30"/>
  <c r="AW98" i="30"/>
  <c r="BB98" i="30"/>
  <c r="AN98" i="30"/>
  <c r="AT98" i="30"/>
  <c r="BA98" i="30"/>
  <c r="AU98" i="30"/>
  <c r="AZ98" i="30"/>
  <c r="AV98" i="30"/>
  <c r="AP98" i="30"/>
  <c r="AX98" i="30"/>
  <c r="AY98" i="30"/>
  <c r="AM98" i="30"/>
  <c r="AQ98" i="30"/>
  <c r="T97" i="30" l="1"/>
  <c r="AD97" i="30"/>
  <c r="AE97" i="30"/>
  <c r="AF97" i="30"/>
  <c r="W97" i="30"/>
  <c r="AH97" i="30"/>
  <c r="AA97" i="30"/>
  <c r="AI97" i="30"/>
  <c r="AB97" i="30"/>
  <c r="Z97" i="30"/>
  <c r="AC97" i="30"/>
  <c r="X97" i="30"/>
  <c r="AG97" i="30"/>
  <c r="V97" i="30"/>
  <c r="U97" i="30"/>
  <c r="AL97" i="30"/>
  <c r="R98" i="30"/>
  <c r="T98" i="30" a="1"/>
  <c r="U98" i="30" a="1"/>
  <c r="V98" i="30" a="1"/>
  <c r="AI98" i="30" a="1"/>
  <c r="AB98" i="30" a="1"/>
  <c r="AC98" i="30" a="1"/>
  <c r="AA98" i="30" a="1"/>
  <c r="AH98" i="30" a="1"/>
  <c r="Z98" i="30" a="1"/>
  <c r="AG98" i="30" a="1"/>
  <c r="X98" i="30" a="1"/>
  <c r="W98" i="30" a="1"/>
  <c r="AE98" i="30" a="1"/>
  <c r="AF98" i="30" a="1"/>
  <c r="AD98" i="30" a="1"/>
  <c r="AM99" i="30"/>
  <c r="AY99" i="30"/>
  <c r="AP99" i="30"/>
  <c r="AN99" i="30"/>
  <c r="AS99" i="30"/>
  <c r="BA99" i="30"/>
  <c r="AU99" i="30"/>
  <c r="AR99" i="30"/>
  <c r="AX99" i="30"/>
  <c r="BB99" i="30"/>
  <c r="AO99" i="30"/>
  <c r="AV99" i="30"/>
  <c r="AW99" i="30"/>
  <c r="AT99" i="30"/>
  <c r="AZ99" i="30"/>
  <c r="AQ99" i="30"/>
  <c r="T98" i="30" l="1"/>
  <c r="AD98" i="30"/>
  <c r="AF98" i="30"/>
  <c r="AE98" i="30"/>
  <c r="W98" i="30"/>
  <c r="X98" i="30"/>
  <c r="AG98" i="30"/>
  <c r="Z98" i="30"/>
  <c r="AH98" i="30"/>
  <c r="AA98" i="30"/>
  <c r="AC98" i="30"/>
  <c r="AB98" i="30"/>
  <c r="AI98" i="30"/>
  <c r="V98" i="30"/>
  <c r="U98" i="30"/>
  <c r="AL98" i="30"/>
  <c r="R99" i="30"/>
  <c r="T99" i="30" a="1"/>
  <c r="U99" i="30" a="1"/>
  <c r="V99" i="30" a="1"/>
  <c r="AI99" i="30" a="1"/>
  <c r="AH99" i="30" a="1"/>
  <c r="AG99" i="30" a="1"/>
  <c r="AB99" i="30" a="1"/>
  <c r="AA99" i="30" a="1"/>
  <c r="AC99" i="30" a="1"/>
  <c r="Z99" i="30" a="1"/>
  <c r="X99" i="30" a="1"/>
  <c r="W99" i="30" a="1"/>
  <c r="AE99" i="30" a="1"/>
  <c r="AF99" i="30" a="1"/>
  <c r="AD99" i="30" a="1"/>
  <c r="AY100" i="30"/>
  <c r="BB100" i="30"/>
  <c r="AN100" i="30"/>
  <c r="AR100" i="30"/>
  <c r="AX100" i="30"/>
  <c r="AM100" i="30"/>
  <c r="AW100" i="30"/>
  <c r="AQ100" i="30"/>
  <c r="AV100" i="30"/>
  <c r="AS100" i="30"/>
  <c r="AU100" i="30"/>
  <c r="AZ100" i="30"/>
  <c r="AT100" i="30"/>
  <c r="BA100" i="30"/>
  <c r="AO100" i="30"/>
  <c r="AP100" i="30"/>
  <c r="T99" i="30" l="1"/>
  <c r="AD99" i="30"/>
  <c r="AF99" i="30"/>
  <c r="AE99" i="30"/>
  <c r="W99" i="30"/>
  <c r="X99" i="30"/>
  <c r="Z99" i="30"/>
  <c r="AC99" i="30"/>
  <c r="AA99" i="30"/>
  <c r="AB99" i="30"/>
  <c r="AG99" i="30"/>
  <c r="AH99" i="30"/>
  <c r="AI99" i="30"/>
  <c r="V99" i="30"/>
  <c r="U99" i="30"/>
  <c r="AL99" i="30"/>
  <c r="R100" i="30"/>
  <c r="T100" i="30" a="1"/>
  <c r="U100" i="30" a="1"/>
  <c r="V100" i="30" a="1"/>
  <c r="X100" i="30" a="1"/>
  <c r="AA100" i="30" a="1"/>
  <c r="Z100" i="30" a="1"/>
  <c r="AB100" i="30" a="1"/>
  <c r="AI100" i="30" a="1"/>
  <c r="AH100" i="30" a="1"/>
  <c r="AG100" i="30" a="1"/>
  <c r="AC100" i="30" a="1"/>
  <c r="W100" i="30" a="1"/>
  <c r="AE100" i="30" a="1"/>
  <c r="AF100" i="30" a="1"/>
  <c r="AD100" i="30" a="1"/>
  <c r="AV101" i="30"/>
  <c r="AP101" i="30"/>
  <c r="AU101" i="30"/>
  <c r="BB101" i="30"/>
  <c r="AT101" i="30"/>
  <c r="AX101" i="30"/>
  <c r="BA101" i="30"/>
  <c r="AR101" i="30"/>
  <c r="AZ101" i="30"/>
  <c r="AO101" i="30"/>
  <c r="AN101" i="30"/>
  <c r="AM101" i="30"/>
  <c r="AY101" i="30"/>
  <c r="AW101" i="30"/>
  <c r="AS101" i="30"/>
  <c r="AQ101" i="30"/>
  <c r="T100" i="30" l="1"/>
  <c r="AD100" i="30"/>
  <c r="AF100" i="30"/>
  <c r="AE100" i="30"/>
  <c r="W100" i="30"/>
  <c r="AC100" i="30"/>
  <c r="AG100" i="30"/>
  <c r="AH100" i="30"/>
  <c r="AI100" i="30"/>
  <c r="AB100" i="30"/>
  <c r="Z100" i="30"/>
  <c r="AA100" i="30"/>
  <c r="X100" i="30"/>
  <c r="V100" i="30"/>
  <c r="U100" i="30"/>
  <c r="AL100" i="30"/>
  <c r="R101" i="30"/>
  <c r="T101" i="30" a="1"/>
  <c r="U101" i="30" a="1"/>
  <c r="V101" i="30" a="1"/>
  <c r="AH101" i="30" a="1"/>
  <c r="AG101" i="30" a="1"/>
  <c r="AC101" i="30" a="1"/>
  <c r="X101" i="30" a="1"/>
  <c r="AA101" i="30" a="1"/>
  <c r="Z101" i="30" a="1"/>
  <c r="AB101" i="30" a="1"/>
  <c r="AI101" i="30" a="1"/>
  <c r="W101" i="30" a="1"/>
  <c r="AF101" i="30" a="1"/>
  <c r="AE101" i="30" a="1"/>
  <c r="AD101" i="30" a="1"/>
  <c r="AS102" i="30"/>
  <c r="AW102" i="30"/>
  <c r="AV102" i="30"/>
  <c r="AN102" i="30"/>
  <c r="AM102" i="30"/>
  <c r="AR102" i="30"/>
  <c r="AO102" i="30"/>
  <c r="AY102" i="30"/>
  <c r="AZ102" i="30"/>
  <c r="AU102" i="30"/>
  <c r="AX102" i="30"/>
  <c r="AP102" i="30"/>
  <c r="BB102" i="30"/>
  <c r="AT102" i="30"/>
  <c r="BA102" i="30"/>
  <c r="AQ102" i="30"/>
  <c r="T101" i="30" l="1"/>
  <c r="AD101" i="30"/>
  <c r="AE101" i="30"/>
  <c r="AF101" i="30"/>
  <c r="W101" i="30"/>
  <c r="AI101" i="30"/>
  <c r="AB101" i="30"/>
  <c r="Z101" i="30"/>
  <c r="AA101" i="30"/>
  <c r="X101" i="30"/>
  <c r="AC101" i="30"/>
  <c r="AG101" i="30"/>
  <c r="AH101" i="30"/>
  <c r="V101" i="30"/>
  <c r="U101" i="30"/>
  <c r="AL101" i="30"/>
  <c r="R102" i="30"/>
  <c r="T102" i="30" a="1"/>
  <c r="U102" i="30" a="1"/>
  <c r="V102" i="30" a="1"/>
  <c r="AI102" i="30" a="1"/>
  <c r="AC102" i="30" a="1"/>
  <c r="AB102" i="30" a="1"/>
  <c r="AA102" i="30" a="1"/>
  <c r="X102" i="30" a="1"/>
  <c r="AG102" i="30" a="1"/>
  <c r="Z102" i="30" a="1"/>
  <c r="AH102" i="30" a="1"/>
  <c r="W102" i="30" a="1"/>
  <c r="AF102" i="30" a="1"/>
  <c r="AE102" i="30" a="1"/>
  <c r="AD102" i="30" a="1"/>
  <c r="T102" i="30" l="1"/>
  <c r="AD102" i="30"/>
  <c r="AE102" i="30"/>
  <c r="AF102" i="30"/>
  <c r="W102" i="30"/>
  <c r="AH102" i="30"/>
  <c r="Z102" i="30"/>
  <c r="AG102" i="30"/>
  <c r="X102" i="30"/>
  <c r="AA102" i="30"/>
  <c r="AB102" i="30"/>
  <c r="AC102" i="30"/>
  <c r="AI102" i="30"/>
  <c r="V102" i="30"/>
  <c r="U102" i="30"/>
  <c r="AL102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Volodymyr Gubanovych</author>
  </authors>
  <commentList>
    <comment ref="C8" authorId="0" shapeId="0" xr:uid="{1D2306A5-011F-41A5-A97A-C51FF2947D85}">
      <text>
        <r>
          <rPr>
            <b/>
            <sz val="9"/>
            <color indexed="81"/>
            <rFont val="Tahoma"/>
            <family val="2"/>
            <charset val="204"/>
          </rPr>
          <t>Volodymyr Gubanovych:</t>
        </r>
        <r>
          <rPr>
            <sz val="9"/>
            <color indexed="81"/>
            <rFont val="Tahoma"/>
            <family val="2"/>
            <charset val="204"/>
          </rPr>
          <t xml:space="preserve">
Some believe that AWD provides pure 2x torque. I prefer to have the multiplier around 1.6-1.8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<sst xmlns="http://schemas.openxmlformats.org/spreadsheetml/2006/main" count="326" uniqueCount="234">
  <si>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</si>
  <si>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</si>
  <si>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</si>
  <si>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</si>
  <si>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</si>
  <si>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</si>
  <si>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</si>
  <si>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</si>
  <si>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</si>
  <si>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</si>
  <si>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</si>
  <si>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</si>
  <si>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</si>
  <si>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</si>
  <si>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</si>
  <si>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</si>
  <si>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</si>
  <si>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</si>
  <si>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</si>
  <si>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</si>
  <si>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</si>
  <si>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</si>
  <si>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</si>
  <si>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</si>
  <si>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</si>
  <si>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</si>
  <si>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</si>
  <si>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</si>
  <si>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</si>
  <si>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</si>
  <si>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</si>
  <si>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</si>
  <si>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</si>
  <si>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</si>
  <si>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</si>
  <si>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</si>
  <si>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</si>
  <si>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</si>
  <si>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</si>
  <si>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</si>
  <si>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</si>
  <si>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</si>
  <si>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</si>
  <si>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</si>
  <si>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</si>
  <si>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</si>
  <si>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</si>
  <si>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</si>
  <si>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</si>
  <si>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</si>
  <si>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</si>
  <si>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</si>
  <si>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</si>
  <si>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</si>
  <si>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</si>
  <si>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</si>
  <si>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</si>
  <si>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</si>
  <si>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</si>
  <si>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</si>
  <si>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</si>
  <si>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</si>
  <si>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</si>
  <si>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</si>
  <si>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</si>
  <si>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</si>
  <si>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</si>
  <si>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</si>
  <si>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</si>
  <si>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</si>
  <si>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</si>
  <si>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</si>
  <si>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</si>
  <si>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</si>
  <si>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</si>
  <si>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</si>
  <si>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</si>
  <si>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</si>
  <si>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</si>
  <si>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</si>
  <si>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</si>
  <si>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</si>
  <si>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</si>
  <si>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</si>
  <si>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</si>
  <si>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</si>
  <si>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</si>
  <si>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</si>
  <si>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</si>
  <si>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</si>
  <si>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</si>
  <si>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</si>
  <si>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</si>
  <si>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</si>
  <si>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</si>
  <si>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</si>
  <si>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</si>
  <si>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</si>
  <si>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</si>
  <si>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</si>
  <si>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</si>
  <si>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</si>
  <si>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</si>
  <si>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</si>
  <si>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</si>
  <si>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</si>
  <si>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</si>
  <si>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</si>
  <si>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</si>
  <si>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</si>
  <si>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</si>
  <si>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</si>
  <si>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</si>
  <si>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</si>
  <si>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</si>
  <si>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</si>
  <si>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</si>
  <si>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</si>
  <si>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</si>
  <si>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</si>
  <si>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</si>
  <si>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</si>
  <si>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</si>
  <si>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</si>
  <si>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</si>
  <si>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</si>
  <si>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</si>
  <si>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</si>
  <si>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</si>
  <si>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</si>
  <si>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</si>
  <si>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</si>
  <si>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</si>
  <si>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</si>
  <si>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</si>
  <si>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</si>
  <si>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</si>
  <si>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</si>
  <si>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</si>
  <si>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</si>
  <si>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</si>
  <si>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</si>
  <si>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</si>
  <si>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</si>
  <si>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</si>
  <si>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</si>
  <si>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</si>
  <si>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</si>
  <si>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</si>
  <si>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</si>
  <si>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</si>
  <si>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</si>
  <si>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</si>
  <si>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</si>
  <si>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</si>
  <si>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</si>
  <si>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</si>
  <si>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</si>
  <si>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</si>
  <si>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42STH48-2004MAH(VRN)</t>
  </si>
  <si>
    <t>42STH48-2004AC(VRN)</t>
  </si>
  <si>
    <t>https://cdn.shopify.com/s/files/1/0887/0138/files/LDO-57STH56-2804MAC_RC_RevA.pdf?3654</t>
  </si>
  <si>
    <t>57STH56-2804MAC(RC)</t>
  </si>
  <si>
    <t>Hanpose</t>
  </si>
  <si>
    <t>23HS4128</t>
  </si>
  <si>
    <t>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</si>
  <si>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</si>
  <si>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</si>
  <si>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</si>
  <si>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17HS19-2004S-C</t>
  </si>
  <si>
    <t>Wantai</t>
  </si>
  <si>
    <t>42BYGHW811</t>
  </si>
  <si>
    <t>https://www.openimpulse.com/blog/wp-content/uploads/wpsc/downloadables/42BYGHW811-Stepper-Motor-Datasheet.pdf</t>
  </si>
  <si>
    <t>42STH48-2804AC</t>
  </si>
  <si>
    <t>https://www.onetwo3d.co.uk/wp-content/uploads/2023/03/LDO28_2048x2048.webp</t>
  </si>
  <si>
    <t xml:space="preserve">42BYGHW804 </t>
  </si>
  <si>
    <t>https://shop.myhobby-cnc.de/media/pdf/c1/52/a9/WANTAI-Hybrid-Stepper-Motor.pdf</t>
  </si>
  <si>
    <t>42STH48-2504MAC(F)</t>
  </si>
  <si>
    <t>MS17HD2P420A-01</t>
  </si>
  <si>
    <t>Price</t>
  </si>
  <si>
    <t>Cloudray</t>
  </si>
  <si>
    <t>17CS03A-130E</t>
  </si>
  <si>
    <t>17CS02A-120</t>
  </si>
  <si>
    <t>17CS01A-100</t>
  </si>
  <si>
    <t>https://de.aliexpress.com/item/4000926481915.html</t>
  </si>
  <si>
    <t>17CS05A-180E</t>
  </si>
  <si>
    <t>JKongMotor</t>
  </si>
  <si>
    <t>JK42HS40-1004-02F</t>
  </si>
  <si>
    <t>JK42HS40-1704</t>
  </si>
  <si>
    <t>Noname</t>
  </si>
  <si>
    <t>B0459</t>
  </si>
  <si>
    <t>17HS8401</t>
  </si>
  <si>
    <t>G-Penny</t>
  </si>
  <si>
    <t>42HS4825A4</t>
  </si>
  <si>
    <t>42x4</t>
  </si>
  <si>
    <t>https://de.aliexpress.com/item/1741988792.html</t>
  </si>
  <si>
    <t>RATTM</t>
  </si>
  <si>
    <t>17HS3430</t>
  </si>
  <si>
    <t>17HS8403</t>
  </si>
  <si>
    <t>17HS3410</t>
  </si>
  <si>
    <t>42CM08</t>
  </si>
  <si>
    <t>YunTaiKe</t>
  </si>
  <si>
    <t>42CM06</t>
  </si>
  <si>
    <t>42CM02</t>
  </si>
  <si>
    <t>https://de.aliexpress.com/item/1005004878027009.html</t>
  </si>
  <si>
    <t>x</t>
  </si>
  <si>
    <t>https://www.wantmotor.com/hybrid-stepper-motor/2-phases-hybrid-stepper-motor/42byghw-stepper-motor.html</t>
  </si>
  <si>
    <t>42BYGHW811-06</t>
  </si>
  <si>
    <t>42BYGHW609</t>
  </si>
  <si>
    <t>LDO-42STH48-2804AH</t>
  </si>
  <si>
    <t>LDO-42STH48-2504AC-RevA</t>
  </si>
  <si>
    <t>Kraken</t>
  </si>
  <si>
    <t>siboor-42sth48-2504(s45)</t>
  </si>
  <si>
    <t>Siboor</t>
  </si>
  <si>
    <t>Torque Curve Range</t>
  </si>
  <si>
    <t>RPM</t>
  </si>
  <si>
    <t>Curve2804</t>
  </si>
  <si>
    <t>CM06 24v</t>
  </si>
  <si>
    <t>CM06 36v</t>
  </si>
  <si>
    <t>CurveCM06_36</t>
  </si>
  <si>
    <t>Curve2504</t>
  </si>
  <si>
    <t>siboor-no-curve</t>
  </si>
  <si>
    <t>AWD Ratio</t>
  </si>
  <si>
    <t>Kraken 24</t>
  </si>
  <si>
    <t>Kraken 48</t>
  </si>
  <si>
    <t>Kraken 60</t>
  </si>
  <si>
    <t>Kraken_24</t>
  </si>
  <si>
    <t>Leadshine CM08</t>
  </si>
  <si>
    <t>CM08 24v</t>
  </si>
  <si>
    <t>CM08 36v</t>
  </si>
  <si>
    <t>Leadshine</t>
  </si>
  <si>
    <t>Leadshine 42CM08</t>
  </si>
  <si>
    <t>CurveCM08_36</t>
  </si>
  <si>
    <t>Leadshine CM06 / Siboor 2504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</si>
</sst>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9" fillId="4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3" borderId="0" xfId="0" applyFill="1"/>
    <xf numFmtId="0" fontId="10" fillId="5" borderId="1" xfId="0" applyFont="1" applyFill="1" applyBorder="1"/>
    <xf numFmtId="0" fontId="0" fillId="0" borderId="0" xfId="0" applyAlignment="1">
      <alignment horizontal="center"/>
    </xf>
    <xf numFmtId="0" fontId="9" fillId="4" borderId="0" xfId="3" applyAlignment="1">
      <alignment horizontal="center"/>
    </xf>
  </cellXfs>
  <cellStyles count="4">
    <cellStyle name="Good" xfId="3" builtinId="26"/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4.xml"/><Relationship Id="rId12" Type="http://schemas.openxmlformats.org/officeDocument/2006/relationships/sheetMetadata" Target="metadata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3.xml"/><Relationship Id="rId10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UI!$AL$1</c:f>
          <c:strCache>
            <c:ptCount val="1"/>
            <c:pt idx="0">
              <c:v>Stepper Power, 48V, 20T, 50k, 750g, 120W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UI!$T$2</c:f>
              <c:strCache>
                <c:ptCount val="1"/>
                <c:pt idx="0">
                  <c:v>Kraken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48.423728395541822</c:v>
                </c:pt>
                <c:pt idx="1">
                  <c:v>48.423728395541822</c:v>
                </c:pt>
                <c:pt idx="2">
                  <c:v>48.423728395541822</c:v>
                </c:pt>
                <c:pt idx="3">
                  <c:v>48.423728395541822</c:v>
                </c:pt>
                <c:pt idx="4">
                  <c:v>50.460503501623855</c:v>
                </c:pt>
                <c:pt idx="5">
                  <c:v>50.460503501623855</c:v>
                </c:pt>
                <c:pt idx="6">
                  <c:v>52.49727860770588</c:v>
                </c:pt>
                <c:pt idx="7">
                  <c:v>52.49727860770588</c:v>
                </c:pt>
                <c:pt idx="8">
                  <c:v>55.326132921708727</c:v>
                </c:pt>
                <c:pt idx="9">
                  <c:v>55.326132921708727</c:v>
                </c:pt>
                <c:pt idx="10">
                  <c:v>57.589216372910982</c:v>
                </c:pt>
                <c:pt idx="11">
                  <c:v>57.589216372910982</c:v>
                </c:pt>
                <c:pt idx="12">
                  <c:v>60.418070686913808</c:v>
                </c:pt>
                <c:pt idx="13">
                  <c:v>60.418070686913808</c:v>
                </c:pt>
                <c:pt idx="14">
                  <c:v>60.757533204594147</c:v>
                </c:pt>
                <c:pt idx="15">
                  <c:v>60.757533204594147</c:v>
                </c:pt>
                <c:pt idx="16">
                  <c:v>57.589216372910982</c:v>
                </c:pt>
                <c:pt idx="17">
                  <c:v>57.589216372910982</c:v>
                </c:pt>
                <c:pt idx="18">
                  <c:v>53.855128678427242</c:v>
                </c:pt>
                <c:pt idx="19">
                  <c:v>53.855128678427242</c:v>
                </c:pt>
                <c:pt idx="20">
                  <c:v>49.555270121142954</c:v>
                </c:pt>
                <c:pt idx="21">
                  <c:v>49.555270121142954</c:v>
                </c:pt>
                <c:pt idx="22">
                  <c:v>45.02910321873842</c:v>
                </c:pt>
                <c:pt idx="23">
                  <c:v>45.02910321873842</c:v>
                </c:pt>
                <c:pt idx="24">
                  <c:v>40.729244661454118</c:v>
                </c:pt>
                <c:pt idx="25">
                  <c:v>40.729244661454118</c:v>
                </c:pt>
                <c:pt idx="26">
                  <c:v>37.900390347451292</c:v>
                </c:pt>
                <c:pt idx="27">
                  <c:v>37.900390347451292</c:v>
                </c:pt>
                <c:pt idx="28">
                  <c:v>33.60053179016699</c:v>
                </c:pt>
                <c:pt idx="29">
                  <c:v>33.60053179016699</c:v>
                </c:pt>
                <c:pt idx="30">
                  <c:v>30.432214958483826</c:v>
                </c:pt>
                <c:pt idx="31">
                  <c:v>30.432214958483826</c:v>
                </c:pt>
                <c:pt idx="32">
                  <c:v>27.490206471920882</c:v>
                </c:pt>
                <c:pt idx="33">
                  <c:v>27.490206471920882</c:v>
                </c:pt>
                <c:pt idx="34">
                  <c:v>25.792893883519191</c:v>
                </c:pt>
                <c:pt idx="35">
                  <c:v>25.792893883519191</c:v>
                </c:pt>
                <c:pt idx="36">
                  <c:v>22.964039569516355</c:v>
                </c:pt>
                <c:pt idx="37">
                  <c:v>22.964039569516355</c:v>
                </c:pt>
                <c:pt idx="38">
                  <c:v>21.266726981114655</c:v>
                </c:pt>
                <c:pt idx="39">
                  <c:v>21.266726981114655</c:v>
                </c:pt>
                <c:pt idx="40">
                  <c:v>19.795722737833184</c:v>
                </c:pt>
                <c:pt idx="41">
                  <c:v>19.795722737833184</c:v>
                </c:pt>
                <c:pt idx="42">
                  <c:v>19.795722737833184</c:v>
                </c:pt>
                <c:pt idx="43">
                  <c:v>19.795722737833184</c:v>
                </c:pt>
                <c:pt idx="44">
                  <c:v>19.795722737833184</c:v>
                </c:pt>
                <c:pt idx="45">
                  <c:v>19.795722737833184</c:v>
                </c:pt>
                <c:pt idx="46">
                  <c:v>19.795722737833184</c:v>
                </c:pt>
                <c:pt idx="47">
                  <c:v>19.466622874468655</c:v>
                </c:pt>
                <c:pt idx="48">
                  <c:v>18.675453543580915</c:v>
                </c:pt>
                <c:pt idx="49">
                  <c:v>17.914151498461759</c:v>
                </c:pt>
                <c:pt idx="50">
                  <c:v>17.181056799646512</c:v>
                </c:pt>
                <c:pt idx="51">
                  <c:v>16.47463027667234</c:v>
                </c:pt>
                <c:pt idx="52">
                  <c:v>15.793442741084853</c:v>
                </c:pt>
                <c:pt idx="53">
                  <c:v>15.136165335336251</c:v>
                </c:pt>
                <c:pt idx="54">
                  <c:v>14.501560880435177</c:v>
                </c:pt>
                <c:pt idx="55">
                  <c:v>13.888476103809939</c:v>
                </c:pt>
                <c:pt idx="56">
                  <c:v>13.29583464465772</c:v>
                </c:pt>
                <c:pt idx="57">
                  <c:v>12.722630747529221</c:v>
                </c:pt>
                <c:pt idx="58">
                  <c:v>12.167923566418416</c:v>
                </c:pt>
                <c:pt idx="59">
                  <c:v>11.630832011500971</c:v>
                </c:pt>
                <c:pt idx="60">
                  <c:v>11.110530079149573</c:v>
                </c:pt>
                <c:pt idx="61">
                  <c:v>10.606242613164031</c:v>
                </c:pt>
                <c:pt idx="62">
                  <c:v>10.117241451466976</c:v>
                </c:pt>
                <c:pt idx="63">
                  <c:v>9.6428419179796894</c:v>
                </c:pt>
                <c:pt idx="64">
                  <c:v>9.1823996241339874</c:v>
                </c:pt>
                <c:pt idx="65">
                  <c:v>8.7353075485982981</c:v>
                </c:pt>
                <c:pt idx="66">
                  <c:v>8.3009933673879548</c:v>
                </c:pt>
                <c:pt idx="67">
                  <c:v>7.8789170096668677</c:v>
                </c:pt>
                <c:pt idx="68">
                  <c:v>7.4685684172917526</c:v>
                </c:pt>
                <c:pt idx="69">
                  <c:v>7.0694654885564665</c:v>
                </c:pt>
                <c:pt idx="70">
                  <c:v>6.6811521887071565</c:v>
                </c:pt>
                <c:pt idx="71">
                  <c:v>6.3031968116584558</c:v>
                </c:pt>
                <c:pt idx="72">
                  <c:v>5.9351903789806357</c:v>
                </c:pt>
                <c:pt idx="73">
                  <c:v>5.5767451636750369</c:v>
                </c:pt>
                <c:pt idx="74">
                  <c:v>5.2274933275358002</c:v>
                </c:pt>
                <c:pt idx="75">
                  <c:v>4.887085662030711</c:v>
                </c:pt>
                <c:pt idx="76">
                  <c:v>4.5551904236406813</c:v>
                </c:pt>
                <c:pt idx="77">
                  <c:v>4.2314922554928787</c:v>
                </c:pt>
                <c:pt idx="78">
                  <c:v>3.9156911879188585</c:v>
                </c:pt>
                <c:pt idx="79">
                  <c:v>3.6075017112799146</c:v>
                </c:pt>
                <c:pt idx="80">
                  <c:v>3.3066519150356415</c:v>
                </c:pt>
                <c:pt idx="81">
                  <c:v>3.0128826875992418</c:v>
                </c:pt>
                <c:pt idx="82">
                  <c:v>2.7259469720304654</c:v>
                </c:pt>
                <c:pt idx="83">
                  <c:v>2.4456090730725322</c:v>
                </c:pt>
                <c:pt idx="84">
                  <c:v>2.171644011447714</c:v>
                </c:pt>
                <c:pt idx="85">
                  <c:v>1.9038369216939657</c:v>
                </c:pt>
                <c:pt idx="86">
                  <c:v>1.6419824901550273</c:v>
                </c:pt>
                <c:pt idx="87">
                  <c:v>1.3858844300347699</c:v>
                </c:pt>
                <c:pt idx="88">
                  <c:v>1.1353549906949041</c:v>
                </c:pt>
                <c:pt idx="89">
                  <c:v>0.89021449861806445</c:v>
                </c:pt>
                <c:pt idx="90">
                  <c:v>0.6502909276776706</c:v>
                </c:pt>
                <c:pt idx="91">
                  <c:v>0.41541949655465094</c:v>
                </c:pt>
                <c:pt idx="92">
                  <c:v>0.18544229132111525</c:v>
                </c:pt>
                <c:pt idx="93">
                  <c:v>-3.9792088625557658E-2</c:v>
                </c:pt>
                <c:pt idx="94">
                  <c:v>-0.26042886294650319</c:v>
                </c:pt>
                <c:pt idx="95">
                  <c:v>-0.47660738259637725</c:v>
                </c:pt>
                <c:pt idx="96">
                  <c:v>-0.68846142332036353</c:v>
                </c:pt>
                <c:pt idx="97">
                  <c:v>-0.89611946171203982</c:v>
                </c:pt>
                <c:pt idx="98">
                  <c:v>-1.0997049350292316</c:v>
                </c:pt>
                <c:pt idx="99">
                  <c:v>-1.2993364858718992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UI!$U$2</c:f>
              <c:strCache>
                <c:ptCount val="1"/>
                <c:pt idx="0">
                  <c:v>siboor-42sth48-2504(s45)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62.239341870532691</c:v>
                </c:pt>
                <c:pt idx="1">
                  <c:v>62.239341870532691</c:v>
                </c:pt>
                <c:pt idx="2">
                  <c:v>62.239341870532691</c:v>
                </c:pt>
                <c:pt idx="3">
                  <c:v>62.239341870532691</c:v>
                </c:pt>
                <c:pt idx="4">
                  <c:v>62.239341870532691</c:v>
                </c:pt>
                <c:pt idx="5">
                  <c:v>62.239341870532691</c:v>
                </c:pt>
                <c:pt idx="6">
                  <c:v>61.673571007732107</c:v>
                </c:pt>
                <c:pt idx="7">
                  <c:v>61.673571007732107</c:v>
                </c:pt>
                <c:pt idx="8">
                  <c:v>61.673571007732107</c:v>
                </c:pt>
                <c:pt idx="9">
                  <c:v>60.881491799811307</c:v>
                </c:pt>
                <c:pt idx="10">
                  <c:v>60.881491799811307</c:v>
                </c:pt>
                <c:pt idx="11">
                  <c:v>60.881491799811307</c:v>
                </c:pt>
                <c:pt idx="12">
                  <c:v>60.54202928213099</c:v>
                </c:pt>
                <c:pt idx="13">
                  <c:v>60.54202928213099</c:v>
                </c:pt>
                <c:pt idx="14">
                  <c:v>60.54202928213099</c:v>
                </c:pt>
                <c:pt idx="15">
                  <c:v>60.54202928213099</c:v>
                </c:pt>
                <c:pt idx="16">
                  <c:v>60.202566764450651</c:v>
                </c:pt>
                <c:pt idx="17">
                  <c:v>60.202566764450651</c:v>
                </c:pt>
                <c:pt idx="18">
                  <c:v>60.202566764450651</c:v>
                </c:pt>
                <c:pt idx="19">
                  <c:v>57.713174968128151</c:v>
                </c:pt>
                <c:pt idx="20">
                  <c:v>57.713174968128151</c:v>
                </c:pt>
                <c:pt idx="21">
                  <c:v>57.713174968128151</c:v>
                </c:pt>
                <c:pt idx="22">
                  <c:v>54.31854979132477</c:v>
                </c:pt>
                <c:pt idx="23">
                  <c:v>54.31854979132477</c:v>
                </c:pt>
                <c:pt idx="24">
                  <c:v>54.31854979132477</c:v>
                </c:pt>
                <c:pt idx="25">
                  <c:v>54.31854979132477</c:v>
                </c:pt>
                <c:pt idx="26">
                  <c:v>50.923924614521376</c:v>
                </c:pt>
                <c:pt idx="27">
                  <c:v>50.923924614521376</c:v>
                </c:pt>
                <c:pt idx="28">
                  <c:v>50.923924614521376</c:v>
                </c:pt>
                <c:pt idx="29">
                  <c:v>47.529299437717974</c:v>
                </c:pt>
                <c:pt idx="30">
                  <c:v>47.529299437717974</c:v>
                </c:pt>
                <c:pt idx="31">
                  <c:v>47.529299437717974</c:v>
                </c:pt>
                <c:pt idx="32">
                  <c:v>43.56890339811401</c:v>
                </c:pt>
                <c:pt idx="33">
                  <c:v>43.56890339811401</c:v>
                </c:pt>
                <c:pt idx="34">
                  <c:v>43.56890339811401</c:v>
                </c:pt>
                <c:pt idx="35">
                  <c:v>43.56890339811401</c:v>
                </c:pt>
                <c:pt idx="36">
                  <c:v>39.608507358510053</c:v>
                </c:pt>
                <c:pt idx="37">
                  <c:v>39.608507358510053</c:v>
                </c:pt>
                <c:pt idx="38">
                  <c:v>39.608507358510053</c:v>
                </c:pt>
                <c:pt idx="39">
                  <c:v>36.213882181706659</c:v>
                </c:pt>
                <c:pt idx="40">
                  <c:v>36.213882181706659</c:v>
                </c:pt>
                <c:pt idx="41">
                  <c:v>36.213882181706659</c:v>
                </c:pt>
                <c:pt idx="42">
                  <c:v>33.385027867703826</c:v>
                </c:pt>
                <c:pt idx="43">
                  <c:v>33.385027867703826</c:v>
                </c:pt>
                <c:pt idx="44">
                  <c:v>33.385027867703826</c:v>
                </c:pt>
                <c:pt idx="45">
                  <c:v>33.385027867703826</c:v>
                </c:pt>
                <c:pt idx="46">
                  <c:v>30.556173553701001</c:v>
                </c:pt>
                <c:pt idx="47">
                  <c:v>30.556173553701001</c:v>
                </c:pt>
                <c:pt idx="48">
                  <c:v>30.556173553701001</c:v>
                </c:pt>
                <c:pt idx="49">
                  <c:v>28.293090102498738</c:v>
                </c:pt>
                <c:pt idx="50">
                  <c:v>27.928947931949381</c:v>
                </c:pt>
                <c:pt idx="51">
                  <c:v>26.93215588212621</c:v>
                </c:pt>
                <c:pt idx="52">
                  <c:v>25.086962839878112</c:v>
                </c:pt>
                <c:pt idx="53">
                  <c:v>24.203000652856971</c:v>
                </c:pt>
                <c:pt idx="54">
                  <c:v>23.349741676172734</c:v>
                </c:pt>
                <c:pt idx="55">
                  <c:v>22.525613565778453</c:v>
                </c:pt>
                <c:pt idx="56">
                  <c:v>20.940510329915796</c:v>
                </c:pt>
                <c:pt idx="57">
                  <c:v>20.207729755296629</c:v>
                </c:pt>
                <c:pt idx="58">
                  <c:v>19.498748062859722</c:v>
                </c:pt>
                <c:pt idx="59">
                  <c:v>18.321331252276781</c:v>
                </c:pt>
                <c:pt idx="60">
                  <c:v>17.679172052807356</c:v>
                </c:pt>
                <c:pt idx="61">
                  <c:v>17.056899763924971</c:v>
                </c:pt>
                <c:pt idx="62">
                  <c:v>15.903140846815234</c:v>
                </c:pt>
                <c:pt idx="63">
                  <c:v>15.342619801702662</c:v>
                </c:pt>
                <c:pt idx="64">
                  <c:v>14.798686859264734</c:v>
                </c:pt>
                <c:pt idx="65">
                  <c:v>14.270616392266701</c:v>
                </c:pt>
                <c:pt idx="66">
                  <c:v>13.429363004304015</c:v>
                </c:pt>
                <c:pt idx="67">
                  <c:v>12.94559784070276</c:v>
                </c:pt>
                <c:pt idx="68">
                  <c:v>12.475349239959073</c:v>
                </c:pt>
                <c:pt idx="69">
                  <c:v>11.633436394989781</c:v>
                </c:pt>
                <c:pt idx="70">
                  <c:v>11.205330615767602</c:v>
                </c:pt>
                <c:pt idx="71">
                  <c:v>10.788705113079017</c:v>
                </c:pt>
                <c:pt idx="72">
                  <c:v>10.092600313736492</c:v>
                </c:pt>
                <c:pt idx="73">
                  <c:v>9.7099458504203895</c:v>
                </c:pt>
                <c:pt idx="74">
                  <c:v>9.3371560191754295</c:v>
                </c:pt>
                <c:pt idx="75">
                  <c:v>8.9738542167307767</c:v>
                </c:pt>
                <c:pt idx="76">
                  <c:v>8.4579028864713219</c:v>
                </c:pt>
                <c:pt idx="77">
                  <c:v>8.1194850522969944</c:v>
                </c:pt>
                <c:pt idx="78">
                  <c:v>7.7893636953225043</c:v>
                </c:pt>
                <c:pt idx="79">
                  <c:v>7.2564215867800472</c:v>
                </c:pt>
                <c:pt idx="80">
                  <c:v>6.9510535670338989</c:v>
                </c:pt>
                <c:pt idx="81">
                  <c:v>6.6529062632449669</c:v>
                </c:pt>
                <c:pt idx="82">
                  <c:v>6.3617265570268415</c:v>
                </c:pt>
                <c:pt idx="83">
                  <c:v>6.0772730239268133</c:v>
                </c:pt>
                <c:pt idx="84">
                  <c:v>5.7993152658197609</c:v>
                </c:pt>
                <c:pt idx="85">
                  <c:v>5.5276332885221002</c:v>
                </c:pt>
                <c:pt idx="86">
                  <c:v>5.2620169210921519</c:v>
                </c:pt>
                <c:pt idx="87">
                  <c:v>5.0022652735954409</c:v>
                </c:pt>
                <c:pt idx="88">
                  <c:v>4.7481862303949214</c:v>
                </c:pt>
                <c:pt idx="89">
                  <c:v>4.4995959762800402</c:v>
                </c:pt>
                <c:pt idx="90">
                  <c:v>4.2563185529783025</c:v>
                </c:pt>
                <c:pt idx="91">
                  <c:v>4.0181854438007036</c:v>
                </c:pt>
                <c:pt idx="92">
                  <c:v>3.7850351843605523</c:v>
                </c:pt>
                <c:pt idx="93">
                  <c:v>3.5567129974760068</c:v>
                </c:pt>
                <c:pt idx="94">
                  <c:v>3.3330704505215127</c:v>
                </c:pt>
                <c:pt idx="95">
                  <c:v>3.1139651336339926</c:v>
                </c:pt>
                <c:pt idx="96">
                  <c:v>2.8992603573079236</c:v>
                </c:pt>
                <c:pt idx="97">
                  <c:v>2.68882486802993</c:v>
                </c:pt>
                <c:pt idx="98">
                  <c:v>2.4825325807096323</c:v>
                </c:pt>
                <c:pt idx="99">
                  <c:v>2.2802623267607816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UI!$V$2</c:f>
              <c:strCache>
                <c:ptCount val="1"/>
                <c:pt idx="0">
                  <c:v>Leadshine 42CM08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76.70033037229544</c:v>
                </c:pt>
                <c:pt idx="1">
                  <c:v>76.70033037229544</c:v>
                </c:pt>
                <c:pt idx="2">
                  <c:v>76.70033037229544</c:v>
                </c:pt>
                <c:pt idx="3">
                  <c:v>76.70033037229544</c:v>
                </c:pt>
                <c:pt idx="4">
                  <c:v>76.70033037229544</c:v>
                </c:pt>
                <c:pt idx="5">
                  <c:v>76.70033037229544</c:v>
                </c:pt>
                <c:pt idx="6">
                  <c:v>73.305705195492038</c:v>
                </c:pt>
                <c:pt idx="7">
                  <c:v>73.305705195492038</c:v>
                </c:pt>
                <c:pt idx="8">
                  <c:v>73.305705195492038</c:v>
                </c:pt>
                <c:pt idx="9">
                  <c:v>69.345309155888089</c:v>
                </c:pt>
                <c:pt idx="10">
                  <c:v>69.345309155888089</c:v>
                </c:pt>
                <c:pt idx="11">
                  <c:v>69.345309155888089</c:v>
                </c:pt>
                <c:pt idx="12">
                  <c:v>65.950683979084687</c:v>
                </c:pt>
                <c:pt idx="13">
                  <c:v>65.950683979084687</c:v>
                </c:pt>
                <c:pt idx="14">
                  <c:v>65.950683979084687</c:v>
                </c:pt>
                <c:pt idx="15">
                  <c:v>65.950683979084687</c:v>
                </c:pt>
                <c:pt idx="16">
                  <c:v>62.216596284600953</c:v>
                </c:pt>
                <c:pt idx="17">
                  <c:v>62.216596284600953</c:v>
                </c:pt>
                <c:pt idx="18">
                  <c:v>62.216596284600953</c:v>
                </c:pt>
                <c:pt idx="19">
                  <c:v>56.332579311475072</c:v>
                </c:pt>
                <c:pt idx="20">
                  <c:v>56.332579311475072</c:v>
                </c:pt>
                <c:pt idx="21">
                  <c:v>56.332579311475072</c:v>
                </c:pt>
                <c:pt idx="22">
                  <c:v>51.24064154626997</c:v>
                </c:pt>
                <c:pt idx="23">
                  <c:v>51.24064154626997</c:v>
                </c:pt>
                <c:pt idx="24">
                  <c:v>51.24064154626997</c:v>
                </c:pt>
                <c:pt idx="25">
                  <c:v>51.24064154626997</c:v>
                </c:pt>
                <c:pt idx="26">
                  <c:v>46.148703781064889</c:v>
                </c:pt>
                <c:pt idx="27">
                  <c:v>46.148703781064889</c:v>
                </c:pt>
                <c:pt idx="28">
                  <c:v>46.148703781064889</c:v>
                </c:pt>
                <c:pt idx="29">
                  <c:v>41.848845223780586</c:v>
                </c:pt>
                <c:pt idx="30">
                  <c:v>41.848845223780586</c:v>
                </c:pt>
                <c:pt idx="31">
                  <c:v>41.848845223780586</c:v>
                </c:pt>
                <c:pt idx="32">
                  <c:v>36.530599113455267</c:v>
                </c:pt>
                <c:pt idx="33">
                  <c:v>36.530599113455267</c:v>
                </c:pt>
                <c:pt idx="34">
                  <c:v>36.530599113455267</c:v>
                </c:pt>
                <c:pt idx="35">
                  <c:v>34.647593698675017</c:v>
                </c:pt>
                <c:pt idx="36">
                  <c:v>30.055088633891714</c:v>
                </c:pt>
                <c:pt idx="37">
                  <c:v>28.513677219567509</c:v>
                </c:pt>
                <c:pt idx="38">
                  <c:v>27.048099041782777</c:v>
                </c:pt>
                <c:pt idx="39">
                  <c:v>23.693392393225896</c:v>
                </c:pt>
                <c:pt idx="40">
                  <c:v>22.471347219084642</c:v>
                </c:pt>
                <c:pt idx="41">
                  <c:v>21.305291538221645</c:v>
                </c:pt>
                <c:pt idx="42">
                  <c:v>19.114077297342956</c:v>
                </c:pt>
                <c:pt idx="43">
                  <c:v>18.104661980414932</c:v>
                </c:pt>
                <c:pt idx="44">
                  <c:v>17.138520307628252</c:v>
                </c:pt>
                <c:pt idx="45">
                  <c:v>16.212927962423489</c:v>
                </c:pt>
                <c:pt idx="46">
                  <c:v>14.78919869740389</c:v>
                </c:pt>
                <c:pt idx="47">
                  <c:v>13.964537994110067</c:v>
                </c:pt>
                <c:pt idx="48">
                  <c:v>13.172438688113932</c:v>
                </c:pt>
                <c:pt idx="49">
                  <c:v>11.973444516014922</c:v>
                </c:pt>
                <c:pt idx="50">
                  <c:v>11.262825891163553</c:v>
                </c:pt>
                <c:pt idx="51">
                  <c:v>10.578696861298084</c:v>
                </c:pt>
                <c:pt idx="52">
                  <c:v>9.3200761238628225</c:v>
                </c:pt>
                <c:pt idx="53">
                  <c:v>8.7139904352663002</c:v>
                </c:pt>
                <c:pt idx="54">
                  <c:v>8.1293012947569689</c:v>
                </c:pt>
                <c:pt idx="55">
                  <c:v>7.5648953166979398</c:v>
                </c:pt>
                <c:pt idx="56">
                  <c:v>6.297438544035046</c:v>
                </c:pt>
                <c:pt idx="57">
                  <c:v>5.804486229858921</c:v>
                </c:pt>
                <c:pt idx="58">
                  <c:v>5.3277888436331411</c:v>
                </c:pt>
                <c:pt idx="59">
                  <c:v>4.3450925725566183</c:v>
                </c:pt>
                <c:pt idx="60">
                  <c:v>3.9215943054229569</c:v>
                </c:pt>
                <c:pt idx="61">
                  <c:v>3.5114025760841887</c:v>
                </c:pt>
                <c:pt idx="62">
                  <c:v>2.6132919616640322</c:v>
                </c:pt>
                <c:pt idx="63">
                  <c:v>2.2488097161103044</c:v>
                </c:pt>
                <c:pt idx="64">
                  <c:v>1.8952642356360514</c:v>
                </c:pt>
                <c:pt idx="65">
                  <c:v>1.5521705386464788</c:v>
                </c:pt>
                <c:pt idx="66">
                  <c:v>0.75229405713681674</c:v>
                </c:pt>
                <c:pt idx="67">
                  <c:v>0.44729519345422664</c:v>
                </c:pt>
                <c:pt idx="68">
                  <c:v>0.15093008428313226</c:v>
                </c:pt>
                <c:pt idx="69">
                  <c:v>-0.43799948124680271</c:v>
                </c:pt>
                <c:pt idx="70">
                  <c:v>-0.70682465677071782</c:v>
                </c:pt>
                <c:pt idx="71">
                  <c:v>-0.96835002334636622</c:v>
                </c:pt>
                <c:pt idx="72">
                  <c:v>-1.3644554880466402</c:v>
                </c:pt>
                <c:pt idx="73">
                  <c:v>-1.607024595637961</c:v>
                </c:pt>
                <c:pt idx="74">
                  <c:v>-1.8432646572279154</c:v>
                </c:pt>
                <c:pt idx="75">
                  <c:v>-2.0734201864989985</c:v>
                </c:pt>
                <c:pt idx="76">
                  <c:v>-2.3986336067883358</c:v>
                </c:pt>
                <c:pt idx="77">
                  <c:v>-2.6135408476892721</c:v>
                </c:pt>
                <c:pt idx="78">
                  <c:v>-2.8231188845874486</c:v>
                </c:pt>
                <c:pt idx="79">
                  <c:v>-3.0505535559631456</c:v>
                </c:pt>
                <c:pt idx="80">
                  <c:v>-3.249177838155056</c:v>
                </c:pt>
                <c:pt idx="81">
                  <c:v>-3.4430533345767831</c:v>
                </c:pt>
                <c:pt idx="82">
                  <c:v>-3.6323483371308627</c:v>
                </c:pt>
                <c:pt idx="83">
                  <c:v>-3.8172232784472158</c:v>
                </c:pt>
                <c:pt idx="84">
                  <c:v>-3.9978311853760164</c:v>
                </c:pt>
                <c:pt idx="85">
                  <c:v>-4.1743181014380459</c:v>
                </c:pt>
                <c:pt idx="86">
                  <c:v>-4.3468234806836774</c:v>
                </c:pt>
                <c:pt idx="87">
                  <c:v>-4.5154805551928963</c:v>
                </c:pt>
                <c:pt idx="88">
                  <c:v>-4.680416678251631</c:v>
                </c:pt>
                <c:pt idx="89">
                  <c:v>-4.841753645062302</c:v>
                </c:pt>
                <c:pt idx="90">
                  <c:v>-4.9996079926857071</c:v>
                </c:pt>
                <c:pt idx="91">
                  <c:v>-5.1540912807667416</c:v>
                </c:pt>
                <c:pt idx="92">
                  <c:v>-5.3053103544649707</c:v>
                </c:pt>
                <c:pt idx="93">
                  <c:v>-5.4533675908923875</c:v>
                </c:pt>
                <c:pt idx="94">
                  <c:v>-5.598361130252802</c:v>
                </c:pt>
                <c:pt idx="95">
                  <c:v>-5.7403850927795306</c:v>
                </c:pt>
                <c:pt idx="96">
                  <c:v>-5.8795297824790271</c:v>
                </c:pt>
                <c:pt idx="97">
                  <c:v>-6.0158818786072974</c:v>
                </c:pt>
                <c:pt idx="98">
                  <c:v>-6.1495246157322319</c:v>
                </c:pt>
                <c:pt idx="99">
                  <c:v>-6.2805379531678414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UI!$AH$2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UI!$AI$2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UI!$AI$3:$AI$102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UI!$AJ$2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UI!$AJ$3:$AJ$102</c:f>
              <c:numCache>
                <c:formatCode>0.0</c:formatCode>
                <c:ptCount val="100"/>
                <c:pt idx="0">
                  <c:v>23.8732414637843</c:v>
                </c:pt>
                <c:pt idx="1">
                  <c:v>23.8732414637843</c:v>
                </c:pt>
                <c:pt idx="2">
                  <c:v>23.8732414637843</c:v>
                </c:pt>
                <c:pt idx="3">
                  <c:v>23.8732414637843</c:v>
                </c:pt>
                <c:pt idx="4">
                  <c:v>23.8732414637843</c:v>
                </c:pt>
                <c:pt idx="5">
                  <c:v>23.8732414637843</c:v>
                </c:pt>
                <c:pt idx="6">
                  <c:v>23.8732414637843</c:v>
                </c:pt>
                <c:pt idx="7">
                  <c:v>23.8732414637843</c:v>
                </c:pt>
                <c:pt idx="8">
                  <c:v>23.8732414637843</c:v>
                </c:pt>
                <c:pt idx="9">
                  <c:v>23.8732414637843</c:v>
                </c:pt>
                <c:pt idx="10">
                  <c:v>23.8732414637843</c:v>
                </c:pt>
                <c:pt idx="11">
                  <c:v>23.8732414637843</c:v>
                </c:pt>
                <c:pt idx="12">
                  <c:v>23.8732414637843</c:v>
                </c:pt>
                <c:pt idx="13">
                  <c:v>23.8732414637843</c:v>
                </c:pt>
                <c:pt idx="14">
                  <c:v>23.8732414637843</c:v>
                </c:pt>
                <c:pt idx="15">
                  <c:v>23.8732414637843</c:v>
                </c:pt>
                <c:pt idx="16">
                  <c:v>23.8732414637843</c:v>
                </c:pt>
                <c:pt idx="17">
                  <c:v>23.8732414637843</c:v>
                </c:pt>
                <c:pt idx="18">
                  <c:v>23.8732414637843</c:v>
                </c:pt>
                <c:pt idx="19">
                  <c:v>23.8732414637843</c:v>
                </c:pt>
                <c:pt idx="20">
                  <c:v>23.8732414637843</c:v>
                </c:pt>
                <c:pt idx="21">
                  <c:v>23.8732414637843</c:v>
                </c:pt>
                <c:pt idx="22">
                  <c:v>23.8732414637843</c:v>
                </c:pt>
                <c:pt idx="23">
                  <c:v>23.8732414637843</c:v>
                </c:pt>
                <c:pt idx="24">
                  <c:v>23.8732414637843</c:v>
                </c:pt>
                <c:pt idx="25">
                  <c:v>23.8732414637843</c:v>
                </c:pt>
                <c:pt idx="26">
                  <c:v>23.8732414637843</c:v>
                </c:pt>
                <c:pt idx="27">
                  <c:v>23.8732414637843</c:v>
                </c:pt>
                <c:pt idx="28">
                  <c:v>23.8732414637843</c:v>
                </c:pt>
                <c:pt idx="29">
                  <c:v>23.8732414637843</c:v>
                </c:pt>
                <c:pt idx="30">
                  <c:v>23.8732414637843</c:v>
                </c:pt>
                <c:pt idx="31">
                  <c:v>23.8732414637843</c:v>
                </c:pt>
                <c:pt idx="32">
                  <c:v>23.8732414637843</c:v>
                </c:pt>
                <c:pt idx="33">
                  <c:v>23.8732414637843</c:v>
                </c:pt>
                <c:pt idx="34">
                  <c:v>23.8732414637843</c:v>
                </c:pt>
                <c:pt idx="35">
                  <c:v>23.8732414637843</c:v>
                </c:pt>
                <c:pt idx="36">
                  <c:v>23.8732414637843</c:v>
                </c:pt>
                <c:pt idx="37">
                  <c:v>23.8732414637843</c:v>
                </c:pt>
                <c:pt idx="38">
                  <c:v>23.8732414637843</c:v>
                </c:pt>
                <c:pt idx="39">
                  <c:v>23.8732414637843</c:v>
                </c:pt>
                <c:pt idx="40">
                  <c:v>23.8732414637843</c:v>
                </c:pt>
                <c:pt idx="41">
                  <c:v>23.8732414637843</c:v>
                </c:pt>
                <c:pt idx="42">
                  <c:v>23.8732414637843</c:v>
                </c:pt>
                <c:pt idx="43">
                  <c:v>23.8732414637843</c:v>
                </c:pt>
                <c:pt idx="44">
                  <c:v>23.8732414637843</c:v>
                </c:pt>
                <c:pt idx="45">
                  <c:v>23.8732414637843</c:v>
                </c:pt>
                <c:pt idx="46">
                  <c:v>23.8732414637843</c:v>
                </c:pt>
                <c:pt idx="47">
                  <c:v>23.8732414637843</c:v>
                </c:pt>
                <c:pt idx="48">
                  <c:v>23.8732414637843</c:v>
                </c:pt>
                <c:pt idx="49">
                  <c:v>23.8732414637843</c:v>
                </c:pt>
                <c:pt idx="50">
                  <c:v>23.8732414637843</c:v>
                </c:pt>
                <c:pt idx="51">
                  <c:v>23.8732414637843</c:v>
                </c:pt>
                <c:pt idx="52">
                  <c:v>23.8732414637843</c:v>
                </c:pt>
                <c:pt idx="53">
                  <c:v>23.8732414637843</c:v>
                </c:pt>
                <c:pt idx="54">
                  <c:v>23.8732414637843</c:v>
                </c:pt>
                <c:pt idx="55">
                  <c:v>23.8732414637843</c:v>
                </c:pt>
                <c:pt idx="56">
                  <c:v>23.8732414637843</c:v>
                </c:pt>
                <c:pt idx="57">
                  <c:v>23.8732414637843</c:v>
                </c:pt>
                <c:pt idx="58">
                  <c:v>23.8732414637843</c:v>
                </c:pt>
                <c:pt idx="59">
                  <c:v>23.8732414637843</c:v>
                </c:pt>
                <c:pt idx="60">
                  <c:v>23.8732414637843</c:v>
                </c:pt>
                <c:pt idx="61">
                  <c:v>23.8732414637843</c:v>
                </c:pt>
                <c:pt idx="62">
                  <c:v>23.8732414637843</c:v>
                </c:pt>
                <c:pt idx="63">
                  <c:v>23.8732414637843</c:v>
                </c:pt>
                <c:pt idx="64">
                  <c:v>23.8732414637843</c:v>
                </c:pt>
                <c:pt idx="65">
                  <c:v>23.8732414637843</c:v>
                </c:pt>
                <c:pt idx="66">
                  <c:v>23.8732414637843</c:v>
                </c:pt>
                <c:pt idx="67">
                  <c:v>23.8732414637843</c:v>
                </c:pt>
                <c:pt idx="68">
                  <c:v>23.8732414637843</c:v>
                </c:pt>
                <c:pt idx="69">
                  <c:v>23.8732414637843</c:v>
                </c:pt>
                <c:pt idx="70">
                  <c:v>23.8732414637843</c:v>
                </c:pt>
                <c:pt idx="71">
                  <c:v>23.8732414637843</c:v>
                </c:pt>
                <c:pt idx="72">
                  <c:v>23.8732414637843</c:v>
                </c:pt>
                <c:pt idx="73">
                  <c:v>23.8732414637843</c:v>
                </c:pt>
                <c:pt idx="74">
                  <c:v>23.8732414637843</c:v>
                </c:pt>
                <c:pt idx="75">
                  <c:v>23.8732414637843</c:v>
                </c:pt>
                <c:pt idx="76">
                  <c:v>23.8732414637843</c:v>
                </c:pt>
                <c:pt idx="77">
                  <c:v>23.8732414637843</c:v>
                </c:pt>
                <c:pt idx="78">
                  <c:v>23.8732414637843</c:v>
                </c:pt>
                <c:pt idx="79">
                  <c:v>23.8732414637843</c:v>
                </c:pt>
                <c:pt idx="80">
                  <c:v>23.8732414637843</c:v>
                </c:pt>
                <c:pt idx="81">
                  <c:v>23.8732414637843</c:v>
                </c:pt>
                <c:pt idx="82">
                  <c:v>23.8732414637843</c:v>
                </c:pt>
                <c:pt idx="83">
                  <c:v>23.8732414637843</c:v>
                </c:pt>
                <c:pt idx="84">
                  <c:v>23.8732414637843</c:v>
                </c:pt>
                <c:pt idx="85">
                  <c:v>23.8732414637843</c:v>
                </c:pt>
                <c:pt idx="86">
                  <c:v>23.8732414637843</c:v>
                </c:pt>
                <c:pt idx="87">
                  <c:v>23.8732414637843</c:v>
                </c:pt>
                <c:pt idx="88">
                  <c:v>23.8732414637843</c:v>
                </c:pt>
                <c:pt idx="89">
                  <c:v>23.8732414637843</c:v>
                </c:pt>
                <c:pt idx="90">
                  <c:v>23.8732414637843</c:v>
                </c:pt>
                <c:pt idx="91">
                  <c:v>23.8732414637843</c:v>
                </c:pt>
                <c:pt idx="92">
                  <c:v>23.8732414637843</c:v>
                </c:pt>
                <c:pt idx="93">
                  <c:v>23.8732414637843</c:v>
                </c:pt>
                <c:pt idx="94">
                  <c:v>23.8732414637843</c:v>
                </c:pt>
                <c:pt idx="95">
                  <c:v>23.8732414637843</c:v>
                </c:pt>
                <c:pt idx="96">
                  <c:v>23.8732414637843</c:v>
                </c:pt>
                <c:pt idx="97">
                  <c:v>23.8732414637843</c:v>
                </c:pt>
                <c:pt idx="98">
                  <c:v>23.8732414637843</c:v>
                </c:pt>
                <c:pt idx="99">
                  <c:v>23.8732414637843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UI!$T$1</c:f>
          <c:strCache>
            <c:ptCount val="1"/>
            <c:pt idx="0">
              <c:v>Stepper Torque, 48V, 20T, 50k, 750g, 120W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UI!$AJ$2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UI!$AJ$3:$AJ$102</c:f>
              <c:numCache>
                <c:formatCode>0.0</c:formatCode>
                <c:ptCount val="100"/>
                <c:pt idx="0">
                  <c:v>23.8732414637843</c:v>
                </c:pt>
                <c:pt idx="1">
                  <c:v>23.8732414637843</c:v>
                </c:pt>
                <c:pt idx="2">
                  <c:v>23.8732414637843</c:v>
                </c:pt>
                <c:pt idx="3">
                  <c:v>23.8732414637843</c:v>
                </c:pt>
                <c:pt idx="4">
                  <c:v>23.8732414637843</c:v>
                </c:pt>
                <c:pt idx="5">
                  <c:v>23.8732414637843</c:v>
                </c:pt>
                <c:pt idx="6">
                  <c:v>23.8732414637843</c:v>
                </c:pt>
                <c:pt idx="7">
                  <c:v>23.8732414637843</c:v>
                </c:pt>
                <c:pt idx="8">
                  <c:v>23.8732414637843</c:v>
                </c:pt>
                <c:pt idx="9">
                  <c:v>23.8732414637843</c:v>
                </c:pt>
                <c:pt idx="10">
                  <c:v>23.8732414637843</c:v>
                </c:pt>
                <c:pt idx="11">
                  <c:v>23.8732414637843</c:v>
                </c:pt>
                <c:pt idx="12">
                  <c:v>23.8732414637843</c:v>
                </c:pt>
                <c:pt idx="13">
                  <c:v>23.8732414637843</c:v>
                </c:pt>
                <c:pt idx="14">
                  <c:v>23.8732414637843</c:v>
                </c:pt>
                <c:pt idx="15">
                  <c:v>23.8732414637843</c:v>
                </c:pt>
                <c:pt idx="16">
                  <c:v>23.8732414637843</c:v>
                </c:pt>
                <c:pt idx="17">
                  <c:v>23.8732414637843</c:v>
                </c:pt>
                <c:pt idx="18">
                  <c:v>23.8732414637843</c:v>
                </c:pt>
                <c:pt idx="19">
                  <c:v>23.8732414637843</c:v>
                </c:pt>
                <c:pt idx="20">
                  <c:v>23.8732414637843</c:v>
                </c:pt>
                <c:pt idx="21">
                  <c:v>23.8732414637843</c:v>
                </c:pt>
                <c:pt idx="22">
                  <c:v>23.8732414637843</c:v>
                </c:pt>
                <c:pt idx="23">
                  <c:v>23.8732414637843</c:v>
                </c:pt>
                <c:pt idx="24">
                  <c:v>23.8732414637843</c:v>
                </c:pt>
                <c:pt idx="25">
                  <c:v>23.8732414637843</c:v>
                </c:pt>
                <c:pt idx="26">
                  <c:v>23.8732414637843</c:v>
                </c:pt>
                <c:pt idx="27">
                  <c:v>23.8732414637843</c:v>
                </c:pt>
                <c:pt idx="28">
                  <c:v>23.8732414637843</c:v>
                </c:pt>
                <c:pt idx="29">
                  <c:v>23.8732414637843</c:v>
                </c:pt>
                <c:pt idx="30">
                  <c:v>23.8732414637843</c:v>
                </c:pt>
                <c:pt idx="31">
                  <c:v>23.8732414637843</c:v>
                </c:pt>
                <c:pt idx="32">
                  <c:v>23.8732414637843</c:v>
                </c:pt>
                <c:pt idx="33">
                  <c:v>23.8732414637843</c:v>
                </c:pt>
                <c:pt idx="34">
                  <c:v>23.8732414637843</c:v>
                </c:pt>
                <c:pt idx="35">
                  <c:v>23.8732414637843</c:v>
                </c:pt>
                <c:pt idx="36">
                  <c:v>23.8732414637843</c:v>
                </c:pt>
                <c:pt idx="37">
                  <c:v>23.8732414637843</c:v>
                </c:pt>
                <c:pt idx="38">
                  <c:v>23.8732414637843</c:v>
                </c:pt>
                <c:pt idx="39">
                  <c:v>23.8732414637843</c:v>
                </c:pt>
                <c:pt idx="40">
                  <c:v>23.8732414637843</c:v>
                </c:pt>
                <c:pt idx="41">
                  <c:v>23.8732414637843</c:v>
                </c:pt>
                <c:pt idx="42">
                  <c:v>23.8732414637843</c:v>
                </c:pt>
                <c:pt idx="43">
                  <c:v>23.8732414637843</c:v>
                </c:pt>
                <c:pt idx="44">
                  <c:v>23.8732414637843</c:v>
                </c:pt>
                <c:pt idx="45">
                  <c:v>23.8732414637843</c:v>
                </c:pt>
                <c:pt idx="46">
                  <c:v>23.8732414637843</c:v>
                </c:pt>
                <c:pt idx="47">
                  <c:v>23.8732414637843</c:v>
                </c:pt>
                <c:pt idx="48">
                  <c:v>23.8732414637843</c:v>
                </c:pt>
                <c:pt idx="49">
                  <c:v>23.8732414637843</c:v>
                </c:pt>
                <c:pt idx="50">
                  <c:v>23.8732414637843</c:v>
                </c:pt>
                <c:pt idx="51">
                  <c:v>23.8732414637843</c:v>
                </c:pt>
                <c:pt idx="52">
                  <c:v>23.8732414637843</c:v>
                </c:pt>
                <c:pt idx="53">
                  <c:v>23.8732414637843</c:v>
                </c:pt>
                <c:pt idx="54">
                  <c:v>23.8732414637843</c:v>
                </c:pt>
                <c:pt idx="55">
                  <c:v>23.8732414637843</c:v>
                </c:pt>
                <c:pt idx="56">
                  <c:v>23.8732414637843</c:v>
                </c:pt>
                <c:pt idx="57">
                  <c:v>23.8732414637843</c:v>
                </c:pt>
                <c:pt idx="58">
                  <c:v>23.8732414637843</c:v>
                </c:pt>
                <c:pt idx="59">
                  <c:v>23.8732414637843</c:v>
                </c:pt>
                <c:pt idx="60">
                  <c:v>23.8732414637843</c:v>
                </c:pt>
                <c:pt idx="61">
                  <c:v>23.8732414637843</c:v>
                </c:pt>
                <c:pt idx="62">
                  <c:v>23.8732414637843</c:v>
                </c:pt>
                <c:pt idx="63">
                  <c:v>23.8732414637843</c:v>
                </c:pt>
                <c:pt idx="64">
                  <c:v>23.8732414637843</c:v>
                </c:pt>
                <c:pt idx="65">
                  <c:v>23.8732414637843</c:v>
                </c:pt>
                <c:pt idx="66">
                  <c:v>23.8732414637843</c:v>
                </c:pt>
                <c:pt idx="67">
                  <c:v>23.8732414637843</c:v>
                </c:pt>
                <c:pt idx="68">
                  <c:v>23.8732414637843</c:v>
                </c:pt>
                <c:pt idx="69">
                  <c:v>23.8732414637843</c:v>
                </c:pt>
                <c:pt idx="70">
                  <c:v>23.8732414637843</c:v>
                </c:pt>
                <c:pt idx="71">
                  <c:v>23.8732414637843</c:v>
                </c:pt>
                <c:pt idx="72">
                  <c:v>23.8732414637843</c:v>
                </c:pt>
                <c:pt idx="73">
                  <c:v>23.8732414637843</c:v>
                </c:pt>
                <c:pt idx="74">
                  <c:v>23.8732414637843</c:v>
                </c:pt>
                <c:pt idx="75">
                  <c:v>23.8732414637843</c:v>
                </c:pt>
                <c:pt idx="76">
                  <c:v>23.8732414637843</c:v>
                </c:pt>
                <c:pt idx="77">
                  <c:v>23.8732414637843</c:v>
                </c:pt>
                <c:pt idx="78">
                  <c:v>23.8732414637843</c:v>
                </c:pt>
                <c:pt idx="79">
                  <c:v>23.8732414637843</c:v>
                </c:pt>
                <c:pt idx="80">
                  <c:v>23.8732414637843</c:v>
                </c:pt>
                <c:pt idx="81">
                  <c:v>23.8732414637843</c:v>
                </c:pt>
                <c:pt idx="82">
                  <c:v>23.8732414637843</c:v>
                </c:pt>
                <c:pt idx="83">
                  <c:v>23.8732414637843</c:v>
                </c:pt>
                <c:pt idx="84">
                  <c:v>23.8732414637843</c:v>
                </c:pt>
                <c:pt idx="85">
                  <c:v>23.8732414637843</c:v>
                </c:pt>
                <c:pt idx="86">
                  <c:v>23.8732414637843</c:v>
                </c:pt>
                <c:pt idx="87">
                  <c:v>23.8732414637843</c:v>
                </c:pt>
                <c:pt idx="88">
                  <c:v>23.8732414637843</c:v>
                </c:pt>
                <c:pt idx="89">
                  <c:v>23.8732414637843</c:v>
                </c:pt>
                <c:pt idx="90">
                  <c:v>23.8732414637843</c:v>
                </c:pt>
                <c:pt idx="91">
                  <c:v>23.8732414637843</c:v>
                </c:pt>
                <c:pt idx="92">
                  <c:v>23.8732414637843</c:v>
                </c:pt>
                <c:pt idx="93">
                  <c:v>23.8732414637843</c:v>
                </c:pt>
                <c:pt idx="94">
                  <c:v>23.8732414637843</c:v>
                </c:pt>
                <c:pt idx="95">
                  <c:v>23.8732414637843</c:v>
                </c:pt>
                <c:pt idx="96">
                  <c:v>23.8732414637843</c:v>
                </c:pt>
                <c:pt idx="97">
                  <c:v>23.8732414637843</c:v>
                </c:pt>
                <c:pt idx="98">
                  <c:v>23.8732414637843</c:v>
                </c:pt>
                <c:pt idx="99">
                  <c:v>23.8732414637843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UI!$T$2</c:f>
              <c:strCache>
                <c:ptCount val="1"/>
                <c:pt idx="0">
                  <c:v>Kraken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48.423728395541822</c:v>
                </c:pt>
                <c:pt idx="1">
                  <c:v>48.423728395541822</c:v>
                </c:pt>
                <c:pt idx="2">
                  <c:v>48.423728395541822</c:v>
                </c:pt>
                <c:pt idx="3">
                  <c:v>48.423728395541822</c:v>
                </c:pt>
                <c:pt idx="4">
                  <c:v>50.460503501623855</c:v>
                </c:pt>
                <c:pt idx="5">
                  <c:v>50.460503501623855</c:v>
                </c:pt>
                <c:pt idx="6">
                  <c:v>52.49727860770588</c:v>
                </c:pt>
                <c:pt idx="7">
                  <c:v>52.49727860770588</c:v>
                </c:pt>
                <c:pt idx="8">
                  <c:v>55.326132921708727</c:v>
                </c:pt>
                <c:pt idx="9">
                  <c:v>55.326132921708727</c:v>
                </c:pt>
                <c:pt idx="10">
                  <c:v>57.589216372910982</c:v>
                </c:pt>
                <c:pt idx="11">
                  <c:v>57.589216372910982</c:v>
                </c:pt>
                <c:pt idx="12">
                  <c:v>60.418070686913808</c:v>
                </c:pt>
                <c:pt idx="13">
                  <c:v>60.418070686913808</c:v>
                </c:pt>
                <c:pt idx="14">
                  <c:v>60.757533204594147</c:v>
                </c:pt>
                <c:pt idx="15">
                  <c:v>60.757533204594147</c:v>
                </c:pt>
                <c:pt idx="16">
                  <c:v>57.589216372910982</c:v>
                </c:pt>
                <c:pt idx="17">
                  <c:v>57.589216372910982</c:v>
                </c:pt>
                <c:pt idx="18">
                  <c:v>53.855128678427242</c:v>
                </c:pt>
                <c:pt idx="19">
                  <c:v>53.855128678427242</c:v>
                </c:pt>
                <c:pt idx="20">
                  <c:v>49.555270121142954</c:v>
                </c:pt>
                <c:pt idx="21">
                  <c:v>49.555270121142954</c:v>
                </c:pt>
                <c:pt idx="22">
                  <c:v>45.02910321873842</c:v>
                </c:pt>
                <c:pt idx="23">
                  <c:v>45.02910321873842</c:v>
                </c:pt>
                <c:pt idx="24">
                  <c:v>40.729244661454118</c:v>
                </c:pt>
                <c:pt idx="25">
                  <c:v>40.729244661454118</c:v>
                </c:pt>
                <c:pt idx="26">
                  <c:v>37.900390347451292</c:v>
                </c:pt>
                <c:pt idx="27">
                  <c:v>37.900390347451292</c:v>
                </c:pt>
                <c:pt idx="28">
                  <c:v>33.60053179016699</c:v>
                </c:pt>
                <c:pt idx="29">
                  <c:v>33.60053179016699</c:v>
                </c:pt>
                <c:pt idx="30">
                  <c:v>30.432214958483826</c:v>
                </c:pt>
                <c:pt idx="31">
                  <c:v>30.432214958483826</c:v>
                </c:pt>
                <c:pt idx="32">
                  <c:v>27.490206471920882</c:v>
                </c:pt>
                <c:pt idx="33">
                  <c:v>27.490206471920882</c:v>
                </c:pt>
                <c:pt idx="34">
                  <c:v>25.792893883519191</c:v>
                </c:pt>
                <c:pt idx="35">
                  <c:v>25.792893883519191</c:v>
                </c:pt>
                <c:pt idx="36">
                  <c:v>22.964039569516355</c:v>
                </c:pt>
                <c:pt idx="37">
                  <c:v>22.964039569516355</c:v>
                </c:pt>
                <c:pt idx="38">
                  <c:v>21.266726981114655</c:v>
                </c:pt>
                <c:pt idx="39">
                  <c:v>21.266726981114655</c:v>
                </c:pt>
                <c:pt idx="40">
                  <c:v>19.795722737833184</c:v>
                </c:pt>
                <c:pt idx="41">
                  <c:v>19.795722737833184</c:v>
                </c:pt>
                <c:pt idx="42">
                  <c:v>19.795722737833184</c:v>
                </c:pt>
                <c:pt idx="43">
                  <c:v>19.795722737833184</c:v>
                </c:pt>
                <c:pt idx="44">
                  <c:v>19.795722737833184</c:v>
                </c:pt>
                <c:pt idx="45">
                  <c:v>19.795722737833184</c:v>
                </c:pt>
                <c:pt idx="46">
                  <c:v>19.795722737833184</c:v>
                </c:pt>
                <c:pt idx="47">
                  <c:v>19.466622874468655</c:v>
                </c:pt>
                <c:pt idx="48">
                  <c:v>18.675453543580915</c:v>
                </c:pt>
                <c:pt idx="49">
                  <c:v>17.914151498461759</c:v>
                </c:pt>
                <c:pt idx="50">
                  <c:v>17.181056799646512</c:v>
                </c:pt>
                <c:pt idx="51">
                  <c:v>16.47463027667234</c:v>
                </c:pt>
                <c:pt idx="52">
                  <c:v>15.793442741084853</c:v>
                </c:pt>
                <c:pt idx="53">
                  <c:v>15.136165335336251</c:v>
                </c:pt>
                <c:pt idx="54">
                  <c:v>14.501560880435177</c:v>
                </c:pt>
                <c:pt idx="55">
                  <c:v>13.888476103809939</c:v>
                </c:pt>
                <c:pt idx="56">
                  <c:v>13.29583464465772</c:v>
                </c:pt>
                <c:pt idx="57">
                  <c:v>12.722630747529221</c:v>
                </c:pt>
                <c:pt idx="58">
                  <c:v>12.167923566418416</c:v>
                </c:pt>
                <c:pt idx="59">
                  <c:v>11.630832011500971</c:v>
                </c:pt>
                <c:pt idx="60">
                  <c:v>11.110530079149573</c:v>
                </c:pt>
                <c:pt idx="61">
                  <c:v>10.606242613164031</c:v>
                </c:pt>
                <c:pt idx="62">
                  <c:v>10.117241451466976</c:v>
                </c:pt>
                <c:pt idx="63">
                  <c:v>9.6428419179796894</c:v>
                </c:pt>
                <c:pt idx="64">
                  <c:v>9.1823996241339874</c:v>
                </c:pt>
                <c:pt idx="65">
                  <c:v>8.7353075485982981</c:v>
                </c:pt>
                <c:pt idx="66">
                  <c:v>8.3009933673879548</c:v>
                </c:pt>
                <c:pt idx="67">
                  <c:v>7.8789170096668677</c:v>
                </c:pt>
                <c:pt idx="68">
                  <c:v>7.4685684172917526</c:v>
                </c:pt>
                <c:pt idx="69">
                  <c:v>7.0694654885564665</c:v>
                </c:pt>
                <c:pt idx="70">
                  <c:v>6.6811521887071565</c:v>
                </c:pt>
                <c:pt idx="71">
                  <c:v>6.3031968116584558</c:v>
                </c:pt>
                <c:pt idx="72">
                  <c:v>5.9351903789806357</c:v>
                </c:pt>
                <c:pt idx="73">
                  <c:v>5.5767451636750369</c:v>
                </c:pt>
                <c:pt idx="74">
                  <c:v>5.2274933275358002</c:v>
                </c:pt>
                <c:pt idx="75">
                  <c:v>4.887085662030711</c:v>
                </c:pt>
                <c:pt idx="76">
                  <c:v>4.5551904236406813</c:v>
                </c:pt>
                <c:pt idx="77">
                  <c:v>4.2314922554928787</c:v>
                </c:pt>
                <c:pt idx="78">
                  <c:v>3.9156911879188585</c:v>
                </c:pt>
                <c:pt idx="79">
                  <c:v>3.6075017112799146</c:v>
                </c:pt>
                <c:pt idx="80">
                  <c:v>3.3066519150356415</c:v>
                </c:pt>
                <c:pt idx="81">
                  <c:v>3.0128826875992418</c:v>
                </c:pt>
                <c:pt idx="82">
                  <c:v>2.7259469720304654</c:v>
                </c:pt>
                <c:pt idx="83">
                  <c:v>2.4456090730725322</c:v>
                </c:pt>
                <c:pt idx="84">
                  <c:v>2.171644011447714</c:v>
                </c:pt>
                <c:pt idx="85">
                  <c:v>1.9038369216939657</c:v>
                </c:pt>
                <c:pt idx="86">
                  <c:v>1.6419824901550273</c:v>
                </c:pt>
                <c:pt idx="87">
                  <c:v>1.3858844300347699</c:v>
                </c:pt>
                <c:pt idx="88">
                  <c:v>1.1353549906949041</c:v>
                </c:pt>
                <c:pt idx="89">
                  <c:v>0.89021449861806445</c:v>
                </c:pt>
                <c:pt idx="90">
                  <c:v>0.6502909276776706</c:v>
                </c:pt>
                <c:pt idx="91">
                  <c:v>0.41541949655465094</c:v>
                </c:pt>
                <c:pt idx="92">
                  <c:v>0.18544229132111525</c:v>
                </c:pt>
                <c:pt idx="93">
                  <c:v>-3.9792088625557658E-2</c:v>
                </c:pt>
                <c:pt idx="94">
                  <c:v>-0.26042886294650319</c:v>
                </c:pt>
                <c:pt idx="95">
                  <c:v>-0.47660738259637725</c:v>
                </c:pt>
                <c:pt idx="96">
                  <c:v>-0.68846142332036353</c:v>
                </c:pt>
                <c:pt idx="97">
                  <c:v>-0.89611946171203982</c:v>
                </c:pt>
                <c:pt idx="98">
                  <c:v>-1.0997049350292316</c:v>
                </c:pt>
                <c:pt idx="99">
                  <c:v>-1.2993364858718992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UI!$U$2</c:f>
              <c:strCache>
                <c:ptCount val="1"/>
                <c:pt idx="0">
                  <c:v>siboor-42sth48-2504(s45)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62.239341870532691</c:v>
                </c:pt>
                <c:pt idx="1">
                  <c:v>62.239341870532691</c:v>
                </c:pt>
                <c:pt idx="2">
                  <c:v>62.239341870532691</c:v>
                </c:pt>
                <c:pt idx="3">
                  <c:v>62.239341870532691</c:v>
                </c:pt>
                <c:pt idx="4">
                  <c:v>62.239341870532691</c:v>
                </c:pt>
                <c:pt idx="5">
                  <c:v>62.239341870532691</c:v>
                </c:pt>
                <c:pt idx="6">
                  <c:v>61.673571007732107</c:v>
                </c:pt>
                <c:pt idx="7">
                  <c:v>61.673571007732107</c:v>
                </c:pt>
                <c:pt idx="8">
                  <c:v>61.673571007732107</c:v>
                </c:pt>
                <c:pt idx="9">
                  <c:v>60.881491799811307</c:v>
                </c:pt>
                <c:pt idx="10">
                  <c:v>60.881491799811307</c:v>
                </c:pt>
                <c:pt idx="11">
                  <c:v>60.881491799811307</c:v>
                </c:pt>
                <c:pt idx="12">
                  <c:v>60.54202928213099</c:v>
                </c:pt>
                <c:pt idx="13">
                  <c:v>60.54202928213099</c:v>
                </c:pt>
                <c:pt idx="14">
                  <c:v>60.54202928213099</c:v>
                </c:pt>
                <c:pt idx="15">
                  <c:v>60.54202928213099</c:v>
                </c:pt>
                <c:pt idx="16">
                  <c:v>60.202566764450651</c:v>
                </c:pt>
                <c:pt idx="17">
                  <c:v>60.202566764450651</c:v>
                </c:pt>
                <c:pt idx="18">
                  <c:v>60.202566764450651</c:v>
                </c:pt>
                <c:pt idx="19">
                  <c:v>57.713174968128151</c:v>
                </c:pt>
                <c:pt idx="20">
                  <c:v>57.713174968128151</c:v>
                </c:pt>
                <c:pt idx="21">
                  <c:v>57.713174968128151</c:v>
                </c:pt>
                <c:pt idx="22">
                  <c:v>54.31854979132477</c:v>
                </c:pt>
                <c:pt idx="23">
                  <c:v>54.31854979132477</c:v>
                </c:pt>
                <c:pt idx="24">
                  <c:v>54.31854979132477</c:v>
                </c:pt>
                <c:pt idx="25">
                  <c:v>54.31854979132477</c:v>
                </c:pt>
                <c:pt idx="26">
                  <c:v>50.923924614521376</c:v>
                </c:pt>
                <c:pt idx="27">
                  <c:v>50.923924614521376</c:v>
                </c:pt>
                <c:pt idx="28">
                  <c:v>50.923924614521376</c:v>
                </c:pt>
                <c:pt idx="29">
                  <c:v>47.529299437717974</c:v>
                </c:pt>
                <c:pt idx="30">
                  <c:v>47.529299437717974</c:v>
                </c:pt>
                <c:pt idx="31">
                  <c:v>47.529299437717974</c:v>
                </c:pt>
                <c:pt idx="32">
                  <c:v>43.56890339811401</c:v>
                </c:pt>
                <c:pt idx="33">
                  <c:v>43.56890339811401</c:v>
                </c:pt>
                <c:pt idx="34">
                  <c:v>43.56890339811401</c:v>
                </c:pt>
                <c:pt idx="35">
                  <c:v>43.56890339811401</c:v>
                </c:pt>
                <c:pt idx="36">
                  <c:v>39.608507358510053</c:v>
                </c:pt>
                <c:pt idx="37">
                  <c:v>39.608507358510053</c:v>
                </c:pt>
                <c:pt idx="38">
                  <c:v>39.608507358510053</c:v>
                </c:pt>
                <c:pt idx="39">
                  <c:v>36.213882181706659</c:v>
                </c:pt>
                <c:pt idx="40">
                  <c:v>36.213882181706659</c:v>
                </c:pt>
                <c:pt idx="41">
                  <c:v>36.213882181706659</c:v>
                </c:pt>
                <c:pt idx="42">
                  <c:v>33.385027867703826</c:v>
                </c:pt>
                <c:pt idx="43">
                  <c:v>33.385027867703826</c:v>
                </c:pt>
                <c:pt idx="44">
                  <c:v>33.385027867703826</c:v>
                </c:pt>
                <c:pt idx="45">
                  <c:v>33.385027867703826</c:v>
                </c:pt>
                <c:pt idx="46">
                  <c:v>30.556173553701001</c:v>
                </c:pt>
                <c:pt idx="47">
                  <c:v>30.556173553701001</c:v>
                </c:pt>
                <c:pt idx="48">
                  <c:v>30.556173553701001</c:v>
                </c:pt>
                <c:pt idx="49">
                  <c:v>28.293090102498738</c:v>
                </c:pt>
                <c:pt idx="50">
                  <c:v>27.928947931949381</c:v>
                </c:pt>
                <c:pt idx="51">
                  <c:v>26.93215588212621</c:v>
                </c:pt>
                <c:pt idx="52">
                  <c:v>25.086962839878112</c:v>
                </c:pt>
                <c:pt idx="53">
                  <c:v>24.203000652856971</c:v>
                </c:pt>
                <c:pt idx="54">
                  <c:v>23.349741676172734</c:v>
                </c:pt>
                <c:pt idx="55">
                  <c:v>22.525613565778453</c:v>
                </c:pt>
                <c:pt idx="56">
                  <c:v>20.940510329915796</c:v>
                </c:pt>
                <c:pt idx="57">
                  <c:v>20.207729755296629</c:v>
                </c:pt>
                <c:pt idx="58">
                  <c:v>19.498748062859722</c:v>
                </c:pt>
                <c:pt idx="59">
                  <c:v>18.321331252276781</c:v>
                </c:pt>
                <c:pt idx="60">
                  <c:v>17.679172052807356</c:v>
                </c:pt>
                <c:pt idx="61">
                  <c:v>17.056899763924971</c:v>
                </c:pt>
                <c:pt idx="62">
                  <c:v>15.903140846815234</c:v>
                </c:pt>
                <c:pt idx="63">
                  <c:v>15.342619801702662</c:v>
                </c:pt>
                <c:pt idx="64">
                  <c:v>14.798686859264734</c:v>
                </c:pt>
                <c:pt idx="65">
                  <c:v>14.270616392266701</c:v>
                </c:pt>
                <c:pt idx="66">
                  <c:v>13.429363004304015</c:v>
                </c:pt>
                <c:pt idx="67">
                  <c:v>12.94559784070276</c:v>
                </c:pt>
                <c:pt idx="68">
                  <c:v>12.475349239959073</c:v>
                </c:pt>
                <c:pt idx="69">
                  <c:v>11.633436394989781</c:v>
                </c:pt>
                <c:pt idx="70">
                  <c:v>11.205330615767602</c:v>
                </c:pt>
                <c:pt idx="71">
                  <c:v>10.788705113079017</c:v>
                </c:pt>
                <c:pt idx="72">
                  <c:v>10.092600313736492</c:v>
                </c:pt>
                <c:pt idx="73">
                  <c:v>9.7099458504203895</c:v>
                </c:pt>
                <c:pt idx="74">
                  <c:v>9.3371560191754295</c:v>
                </c:pt>
                <c:pt idx="75">
                  <c:v>8.9738542167307767</c:v>
                </c:pt>
                <c:pt idx="76">
                  <c:v>8.4579028864713219</c:v>
                </c:pt>
                <c:pt idx="77">
                  <c:v>8.1194850522969944</c:v>
                </c:pt>
                <c:pt idx="78">
                  <c:v>7.7893636953225043</c:v>
                </c:pt>
                <c:pt idx="79">
                  <c:v>7.2564215867800472</c:v>
                </c:pt>
                <c:pt idx="80">
                  <c:v>6.9510535670338989</c:v>
                </c:pt>
                <c:pt idx="81">
                  <c:v>6.6529062632449669</c:v>
                </c:pt>
                <c:pt idx="82">
                  <c:v>6.3617265570268415</c:v>
                </c:pt>
                <c:pt idx="83">
                  <c:v>6.0772730239268133</c:v>
                </c:pt>
                <c:pt idx="84">
                  <c:v>5.7993152658197609</c:v>
                </c:pt>
                <c:pt idx="85">
                  <c:v>5.5276332885221002</c:v>
                </c:pt>
                <c:pt idx="86">
                  <c:v>5.2620169210921519</c:v>
                </c:pt>
                <c:pt idx="87">
                  <c:v>5.0022652735954409</c:v>
                </c:pt>
                <c:pt idx="88">
                  <c:v>4.7481862303949214</c:v>
                </c:pt>
                <c:pt idx="89">
                  <c:v>4.4995959762800402</c:v>
                </c:pt>
                <c:pt idx="90">
                  <c:v>4.2563185529783025</c:v>
                </c:pt>
                <c:pt idx="91">
                  <c:v>4.0181854438007036</c:v>
                </c:pt>
                <c:pt idx="92">
                  <c:v>3.7850351843605523</c:v>
                </c:pt>
                <c:pt idx="93">
                  <c:v>3.5567129974760068</c:v>
                </c:pt>
                <c:pt idx="94">
                  <c:v>3.3330704505215127</c:v>
                </c:pt>
                <c:pt idx="95">
                  <c:v>3.1139651336339926</c:v>
                </c:pt>
                <c:pt idx="96">
                  <c:v>2.8992603573079236</c:v>
                </c:pt>
                <c:pt idx="97">
                  <c:v>2.68882486802993</c:v>
                </c:pt>
                <c:pt idx="98">
                  <c:v>2.4825325807096323</c:v>
                </c:pt>
                <c:pt idx="99">
                  <c:v>2.2802623267607816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UI!$V$2</c:f>
              <c:strCache>
                <c:ptCount val="1"/>
                <c:pt idx="0">
                  <c:v>Leadshine 42CM08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76.70033037229544</c:v>
                </c:pt>
                <c:pt idx="1">
                  <c:v>76.70033037229544</c:v>
                </c:pt>
                <c:pt idx="2">
                  <c:v>76.70033037229544</c:v>
                </c:pt>
                <c:pt idx="3">
                  <c:v>76.70033037229544</c:v>
                </c:pt>
                <c:pt idx="4">
                  <c:v>76.70033037229544</c:v>
                </c:pt>
                <c:pt idx="5">
                  <c:v>76.70033037229544</c:v>
                </c:pt>
                <c:pt idx="6">
                  <c:v>73.305705195492038</c:v>
                </c:pt>
                <c:pt idx="7">
                  <c:v>73.305705195492038</c:v>
                </c:pt>
                <c:pt idx="8">
                  <c:v>73.305705195492038</c:v>
                </c:pt>
                <c:pt idx="9">
                  <c:v>69.345309155888089</c:v>
                </c:pt>
                <c:pt idx="10">
                  <c:v>69.345309155888089</c:v>
                </c:pt>
                <c:pt idx="11">
                  <c:v>69.345309155888089</c:v>
                </c:pt>
                <c:pt idx="12">
                  <c:v>65.950683979084687</c:v>
                </c:pt>
                <c:pt idx="13">
                  <c:v>65.950683979084687</c:v>
                </c:pt>
                <c:pt idx="14">
                  <c:v>65.950683979084687</c:v>
                </c:pt>
                <c:pt idx="15">
                  <c:v>65.950683979084687</c:v>
                </c:pt>
                <c:pt idx="16">
                  <c:v>62.216596284600953</c:v>
                </c:pt>
                <c:pt idx="17">
                  <c:v>62.216596284600953</c:v>
                </c:pt>
                <c:pt idx="18">
                  <c:v>62.216596284600953</c:v>
                </c:pt>
                <c:pt idx="19">
                  <c:v>56.332579311475072</c:v>
                </c:pt>
                <c:pt idx="20">
                  <c:v>56.332579311475072</c:v>
                </c:pt>
                <c:pt idx="21">
                  <c:v>56.332579311475072</c:v>
                </c:pt>
                <c:pt idx="22">
                  <c:v>51.24064154626997</c:v>
                </c:pt>
                <c:pt idx="23">
                  <c:v>51.24064154626997</c:v>
                </c:pt>
                <c:pt idx="24">
                  <c:v>51.24064154626997</c:v>
                </c:pt>
                <c:pt idx="25">
                  <c:v>51.24064154626997</c:v>
                </c:pt>
                <c:pt idx="26">
                  <c:v>46.148703781064889</c:v>
                </c:pt>
                <c:pt idx="27">
                  <c:v>46.148703781064889</c:v>
                </c:pt>
                <c:pt idx="28">
                  <c:v>46.148703781064889</c:v>
                </c:pt>
                <c:pt idx="29">
                  <c:v>41.848845223780586</c:v>
                </c:pt>
                <c:pt idx="30">
                  <c:v>41.848845223780586</c:v>
                </c:pt>
                <c:pt idx="31">
                  <c:v>41.848845223780586</c:v>
                </c:pt>
                <c:pt idx="32">
                  <c:v>36.530599113455267</c:v>
                </c:pt>
                <c:pt idx="33">
                  <c:v>36.530599113455267</c:v>
                </c:pt>
                <c:pt idx="34">
                  <c:v>36.530599113455267</c:v>
                </c:pt>
                <c:pt idx="35">
                  <c:v>34.647593698675017</c:v>
                </c:pt>
                <c:pt idx="36">
                  <c:v>30.055088633891714</c:v>
                </c:pt>
                <c:pt idx="37">
                  <c:v>28.513677219567509</c:v>
                </c:pt>
                <c:pt idx="38">
                  <c:v>27.048099041782777</c:v>
                </c:pt>
                <c:pt idx="39">
                  <c:v>23.693392393225896</c:v>
                </c:pt>
                <c:pt idx="40">
                  <c:v>22.471347219084642</c:v>
                </c:pt>
                <c:pt idx="41">
                  <c:v>21.305291538221645</c:v>
                </c:pt>
                <c:pt idx="42">
                  <c:v>19.114077297342956</c:v>
                </c:pt>
                <c:pt idx="43">
                  <c:v>18.104661980414932</c:v>
                </c:pt>
                <c:pt idx="44">
                  <c:v>17.138520307628252</c:v>
                </c:pt>
                <c:pt idx="45">
                  <c:v>16.212927962423489</c:v>
                </c:pt>
                <c:pt idx="46">
                  <c:v>14.78919869740389</c:v>
                </c:pt>
                <c:pt idx="47">
                  <c:v>13.964537994110067</c:v>
                </c:pt>
                <c:pt idx="48">
                  <c:v>13.172438688113932</c:v>
                </c:pt>
                <c:pt idx="49">
                  <c:v>11.973444516014922</c:v>
                </c:pt>
                <c:pt idx="50">
                  <c:v>11.262825891163553</c:v>
                </c:pt>
                <c:pt idx="51">
                  <c:v>10.578696861298084</c:v>
                </c:pt>
                <c:pt idx="52">
                  <c:v>9.3200761238628225</c:v>
                </c:pt>
                <c:pt idx="53">
                  <c:v>8.7139904352663002</c:v>
                </c:pt>
                <c:pt idx="54">
                  <c:v>8.1293012947569689</c:v>
                </c:pt>
                <c:pt idx="55">
                  <c:v>7.5648953166979398</c:v>
                </c:pt>
                <c:pt idx="56">
                  <c:v>6.297438544035046</c:v>
                </c:pt>
                <c:pt idx="57">
                  <c:v>5.804486229858921</c:v>
                </c:pt>
                <c:pt idx="58">
                  <c:v>5.3277888436331411</c:v>
                </c:pt>
                <c:pt idx="59">
                  <c:v>4.3450925725566183</c:v>
                </c:pt>
                <c:pt idx="60">
                  <c:v>3.9215943054229569</c:v>
                </c:pt>
                <c:pt idx="61">
                  <c:v>3.5114025760841887</c:v>
                </c:pt>
                <c:pt idx="62">
                  <c:v>2.6132919616640322</c:v>
                </c:pt>
                <c:pt idx="63">
                  <c:v>2.2488097161103044</c:v>
                </c:pt>
                <c:pt idx="64">
                  <c:v>1.8952642356360514</c:v>
                </c:pt>
                <c:pt idx="65">
                  <c:v>1.5521705386464788</c:v>
                </c:pt>
                <c:pt idx="66">
                  <c:v>0.75229405713681674</c:v>
                </c:pt>
                <c:pt idx="67">
                  <c:v>0.44729519345422664</c:v>
                </c:pt>
                <c:pt idx="68">
                  <c:v>0.15093008428313226</c:v>
                </c:pt>
                <c:pt idx="69">
                  <c:v>-0.43799948124680271</c:v>
                </c:pt>
                <c:pt idx="70">
                  <c:v>-0.70682465677071782</c:v>
                </c:pt>
                <c:pt idx="71">
                  <c:v>-0.96835002334636622</c:v>
                </c:pt>
                <c:pt idx="72">
                  <c:v>-1.3644554880466402</c:v>
                </c:pt>
                <c:pt idx="73">
                  <c:v>-1.607024595637961</c:v>
                </c:pt>
                <c:pt idx="74">
                  <c:v>-1.8432646572279154</c:v>
                </c:pt>
                <c:pt idx="75">
                  <c:v>-2.0734201864989985</c:v>
                </c:pt>
                <c:pt idx="76">
                  <c:v>-2.3986336067883358</c:v>
                </c:pt>
                <c:pt idx="77">
                  <c:v>-2.6135408476892721</c:v>
                </c:pt>
                <c:pt idx="78">
                  <c:v>-2.8231188845874486</c:v>
                </c:pt>
                <c:pt idx="79">
                  <c:v>-3.0505535559631456</c:v>
                </c:pt>
                <c:pt idx="80">
                  <c:v>-3.249177838155056</c:v>
                </c:pt>
                <c:pt idx="81">
                  <c:v>-3.4430533345767831</c:v>
                </c:pt>
                <c:pt idx="82">
                  <c:v>-3.6323483371308627</c:v>
                </c:pt>
                <c:pt idx="83">
                  <c:v>-3.8172232784472158</c:v>
                </c:pt>
                <c:pt idx="84">
                  <c:v>-3.9978311853760164</c:v>
                </c:pt>
                <c:pt idx="85">
                  <c:v>-4.1743181014380459</c:v>
                </c:pt>
                <c:pt idx="86">
                  <c:v>-4.3468234806836774</c:v>
                </c:pt>
                <c:pt idx="87">
                  <c:v>-4.5154805551928963</c:v>
                </c:pt>
                <c:pt idx="88">
                  <c:v>-4.680416678251631</c:v>
                </c:pt>
                <c:pt idx="89">
                  <c:v>-4.841753645062302</c:v>
                </c:pt>
                <c:pt idx="90">
                  <c:v>-4.9996079926857071</c:v>
                </c:pt>
                <c:pt idx="91">
                  <c:v>-5.1540912807667416</c:v>
                </c:pt>
                <c:pt idx="92">
                  <c:v>-5.3053103544649707</c:v>
                </c:pt>
                <c:pt idx="93">
                  <c:v>-5.4533675908923875</c:v>
                </c:pt>
                <c:pt idx="94">
                  <c:v>-5.598361130252802</c:v>
                </c:pt>
                <c:pt idx="95">
                  <c:v>-5.7403850927795306</c:v>
                </c:pt>
                <c:pt idx="96">
                  <c:v>-5.8795297824790271</c:v>
                </c:pt>
                <c:pt idx="97">
                  <c:v>-6.0158818786072974</c:v>
                </c:pt>
                <c:pt idx="98">
                  <c:v>-6.1495246157322319</c:v>
                </c:pt>
                <c:pt idx="99">
                  <c:v>-6.2805379531678414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UI!$AH$2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UI!$AI$2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UI!$AI$3:$AI$102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8160"/>
        <c:crosses val="autoZero"/>
        <c:crossBetween val="midCat"/>
        <c:majorUnit val="100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6512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UI!$T$1</c:f>
          <c:strCache>
            <c:ptCount val="1"/>
            <c:pt idx="0">
              <c:v>Stepper Torque, 48V, 20T, 50k, 750g, 120W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UI!$AJ$2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UI!$AJ$3:$AJ$102</c:f>
              <c:numCache>
                <c:formatCode>0.0</c:formatCode>
                <c:ptCount val="100"/>
                <c:pt idx="0">
                  <c:v>23.8732414637843</c:v>
                </c:pt>
                <c:pt idx="1">
                  <c:v>23.8732414637843</c:v>
                </c:pt>
                <c:pt idx="2">
                  <c:v>23.8732414637843</c:v>
                </c:pt>
                <c:pt idx="3">
                  <c:v>23.8732414637843</c:v>
                </c:pt>
                <c:pt idx="4">
                  <c:v>23.8732414637843</c:v>
                </c:pt>
                <c:pt idx="5">
                  <c:v>23.8732414637843</c:v>
                </c:pt>
                <c:pt idx="6">
                  <c:v>23.8732414637843</c:v>
                </c:pt>
                <c:pt idx="7">
                  <c:v>23.8732414637843</c:v>
                </c:pt>
                <c:pt idx="8">
                  <c:v>23.8732414637843</c:v>
                </c:pt>
                <c:pt idx="9">
                  <c:v>23.8732414637843</c:v>
                </c:pt>
                <c:pt idx="10">
                  <c:v>23.8732414637843</c:v>
                </c:pt>
                <c:pt idx="11">
                  <c:v>23.8732414637843</c:v>
                </c:pt>
                <c:pt idx="12">
                  <c:v>23.8732414637843</c:v>
                </c:pt>
                <c:pt idx="13">
                  <c:v>23.8732414637843</c:v>
                </c:pt>
                <c:pt idx="14">
                  <c:v>23.8732414637843</c:v>
                </c:pt>
                <c:pt idx="15">
                  <c:v>23.8732414637843</c:v>
                </c:pt>
                <c:pt idx="16">
                  <c:v>23.8732414637843</c:v>
                </c:pt>
                <c:pt idx="17">
                  <c:v>23.8732414637843</c:v>
                </c:pt>
                <c:pt idx="18">
                  <c:v>23.8732414637843</c:v>
                </c:pt>
                <c:pt idx="19">
                  <c:v>23.8732414637843</c:v>
                </c:pt>
                <c:pt idx="20">
                  <c:v>23.8732414637843</c:v>
                </c:pt>
                <c:pt idx="21">
                  <c:v>23.8732414637843</c:v>
                </c:pt>
                <c:pt idx="22">
                  <c:v>23.8732414637843</c:v>
                </c:pt>
                <c:pt idx="23">
                  <c:v>23.8732414637843</c:v>
                </c:pt>
                <c:pt idx="24">
                  <c:v>23.8732414637843</c:v>
                </c:pt>
                <c:pt idx="25">
                  <c:v>23.8732414637843</c:v>
                </c:pt>
                <c:pt idx="26">
                  <c:v>23.8732414637843</c:v>
                </c:pt>
                <c:pt idx="27">
                  <c:v>23.8732414637843</c:v>
                </c:pt>
                <c:pt idx="28">
                  <c:v>23.8732414637843</c:v>
                </c:pt>
                <c:pt idx="29">
                  <c:v>23.8732414637843</c:v>
                </c:pt>
                <c:pt idx="30">
                  <c:v>23.8732414637843</c:v>
                </c:pt>
                <c:pt idx="31">
                  <c:v>23.8732414637843</c:v>
                </c:pt>
                <c:pt idx="32">
                  <c:v>23.8732414637843</c:v>
                </c:pt>
                <c:pt idx="33">
                  <c:v>23.8732414637843</c:v>
                </c:pt>
                <c:pt idx="34">
                  <c:v>23.8732414637843</c:v>
                </c:pt>
                <c:pt idx="35">
                  <c:v>23.8732414637843</c:v>
                </c:pt>
                <c:pt idx="36">
                  <c:v>23.8732414637843</c:v>
                </c:pt>
                <c:pt idx="37">
                  <c:v>23.8732414637843</c:v>
                </c:pt>
                <c:pt idx="38">
                  <c:v>23.8732414637843</c:v>
                </c:pt>
                <c:pt idx="39">
                  <c:v>23.8732414637843</c:v>
                </c:pt>
                <c:pt idx="40">
                  <c:v>23.8732414637843</c:v>
                </c:pt>
                <c:pt idx="41">
                  <c:v>23.8732414637843</c:v>
                </c:pt>
                <c:pt idx="42">
                  <c:v>23.8732414637843</c:v>
                </c:pt>
                <c:pt idx="43">
                  <c:v>23.8732414637843</c:v>
                </c:pt>
                <c:pt idx="44">
                  <c:v>23.8732414637843</c:v>
                </c:pt>
                <c:pt idx="45">
                  <c:v>23.8732414637843</c:v>
                </c:pt>
                <c:pt idx="46">
                  <c:v>23.8732414637843</c:v>
                </c:pt>
                <c:pt idx="47">
                  <c:v>23.8732414637843</c:v>
                </c:pt>
                <c:pt idx="48">
                  <c:v>23.8732414637843</c:v>
                </c:pt>
                <c:pt idx="49">
                  <c:v>23.8732414637843</c:v>
                </c:pt>
                <c:pt idx="50">
                  <c:v>23.8732414637843</c:v>
                </c:pt>
                <c:pt idx="51">
                  <c:v>23.8732414637843</c:v>
                </c:pt>
                <c:pt idx="52">
                  <c:v>23.8732414637843</c:v>
                </c:pt>
                <c:pt idx="53">
                  <c:v>23.8732414637843</c:v>
                </c:pt>
                <c:pt idx="54">
                  <c:v>23.8732414637843</c:v>
                </c:pt>
                <c:pt idx="55">
                  <c:v>23.8732414637843</c:v>
                </c:pt>
                <c:pt idx="56">
                  <c:v>23.8732414637843</c:v>
                </c:pt>
                <c:pt idx="57">
                  <c:v>23.8732414637843</c:v>
                </c:pt>
                <c:pt idx="58">
                  <c:v>23.8732414637843</c:v>
                </c:pt>
                <c:pt idx="59">
                  <c:v>23.8732414637843</c:v>
                </c:pt>
                <c:pt idx="60">
                  <c:v>23.8732414637843</c:v>
                </c:pt>
                <c:pt idx="61">
                  <c:v>23.8732414637843</c:v>
                </c:pt>
                <c:pt idx="62">
                  <c:v>23.8732414637843</c:v>
                </c:pt>
                <c:pt idx="63">
                  <c:v>23.8732414637843</c:v>
                </c:pt>
                <c:pt idx="64">
                  <c:v>23.8732414637843</c:v>
                </c:pt>
                <c:pt idx="65">
                  <c:v>23.8732414637843</c:v>
                </c:pt>
                <c:pt idx="66">
                  <c:v>23.8732414637843</c:v>
                </c:pt>
                <c:pt idx="67">
                  <c:v>23.8732414637843</c:v>
                </c:pt>
                <c:pt idx="68">
                  <c:v>23.8732414637843</c:v>
                </c:pt>
                <c:pt idx="69">
                  <c:v>23.8732414637843</c:v>
                </c:pt>
                <c:pt idx="70">
                  <c:v>23.8732414637843</c:v>
                </c:pt>
                <c:pt idx="71">
                  <c:v>23.8732414637843</c:v>
                </c:pt>
                <c:pt idx="72">
                  <c:v>23.8732414637843</c:v>
                </c:pt>
                <c:pt idx="73">
                  <c:v>23.8732414637843</c:v>
                </c:pt>
                <c:pt idx="74">
                  <c:v>23.8732414637843</c:v>
                </c:pt>
                <c:pt idx="75">
                  <c:v>23.8732414637843</c:v>
                </c:pt>
                <c:pt idx="76">
                  <c:v>23.8732414637843</c:v>
                </c:pt>
                <c:pt idx="77">
                  <c:v>23.8732414637843</c:v>
                </c:pt>
                <c:pt idx="78">
                  <c:v>23.8732414637843</c:v>
                </c:pt>
                <c:pt idx="79">
                  <c:v>23.8732414637843</c:v>
                </c:pt>
                <c:pt idx="80">
                  <c:v>23.8732414637843</c:v>
                </c:pt>
                <c:pt idx="81">
                  <c:v>23.8732414637843</c:v>
                </c:pt>
                <c:pt idx="82">
                  <c:v>23.8732414637843</c:v>
                </c:pt>
                <c:pt idx="83">
                  <c:v>23.8732414637843</c:v>
                </c:pt>
                <c:pt idx="84">
                  <c:v>23.8732414637843</c:v>
                </c:pt>
                <c:pt idx="85">
                  <c:v>23.8732414637843</c:v>
                </c:pt>
                <c:pt idx="86">
                  <c:v>23.8732414637843</c:v>
                </c:pt>
                <c:pt idx="87">
                  <c:v>23.8732414637843</c:v>
                </c:pt>
                <c:pt idx="88">
                  <c:v>23.8732414637843</c:v>
                </c:pt>
                <c:pt idx="89">
                  <c:v>23.8732414637843</c:v>
                </c:pt>
                <c:pt idx="90">
                  <c:v>23.8732414637843</c:v>
                </c:pt>
                <c:pt idx="91">
                  <c:v>23.8732414637843</c:v>
                </c:pt>
                <c:pt idx="92">
                  <c:v>23.8732414637843</c:v>
                </c:pt>
                <c:pt idx="93">
                  <c:v>23.8732414637843</c:v>
                </c:pt>
                <c:pt idx="94">
                  <c:v>23.8732414637843</c:v>
                </c:pt>
                <c:pt idx="95">
                  <c:v>23.8732414637843</c:v>
                </c:pt>
                <c:pt idx="96">
                  <c:v>23.8732414637843</c:v>
                </c:pt>
                <c:pt idx="97">
                  <c:v>23.8732414637843</c:v>
                </c:pt>
                <c:pt idx="98">
                  <c:v>23.8732414637843</c:v>
                </c:pt>
                <c:pt idx="99">
                  <c:v>23.8732414637843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UI!$T$2</c:f>
              <c:strCache>
                <c:ptCount val="1"/>
                <c:pt idx="0">
                  <c:v>Kraken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48.423728395541822</c:v>
                </c:pt>
                <c:pt idx="1">
                  <c:v>48.423728395541822</c:v>
                </c:pt>
                <c:pt idx="2">
                  <c:v>48.423728395541822</c:v>
                </c:pt>
                <c:pt idx="3">
                  <c:v>48.423728395541822</c:v>
                </c:pt>
                <c:pt idx="4">
                  <c:v>50.460503501623855</c:v>
                </c:pt>
                <c:pt idx="5">
                  <c:v>50.460503501623855</c:v>
                </c:pt>
                <c:pt idx="6">
                  <c:v>52.49727860770588</c:v>
                </c:pt>
                <c:pt idx="7">
                  <c:v>52.49727860770588</c:v>
                </c:pt>
                <c:pt idx="8">
                  <c:v>55.326132921708727</c:v>
                </c:pt>
                <c:pt idx="9">
                  <c:v>55.326132921708727</c:v>
                </c:pt>
                <c:pt idx="10">
                  <c:v>57.589216372910982</c:v>
                </c:pt>
                <c:pt idx="11">
                  <c:v>57.589216372910982</c:v>
                </c:pt>
                <c:pt idx="12">
                  <c:v>60.418070686913808</c:v>
                </c:pt>
                <c:pt idx="13">
                  <c:v>60.418070686913808</c:v>
                </c:pt>
                <c:pt idx="14">
                  <c:v>60.757533204594147</c:v>
                </c:pt>
                <c:pt idx="15">
                  <c:v>60.757533204594147</c:v>
                </c:pt>
                <c:pt idx="16">
                  <c:v>57.589216372910982</c:v>
                </c:pt>
                <c:pt idx="17">
                  <c:v>57.589216372910982</c:v>
                </c:pt>
                <c:pt idx="18">
                  <c:v>53.855128678427242</c:v>
                </c:pt>
                <c:pt idx="19">
                  <c:v>53.855128678427242</c:v>
                </c:pt>
                <c:pt idx="20">
                  <c:v>49.555270121142954</c:v>
                </c:pt>
                <c:pt idx="21">
                  <c:v>49.555270121142954</c:v>
                </c:pt>
                <c:pt idx="22">
                  <c:v>45.02910321873842</c:v>
                </c:pt>
                <c:pt idx="23">
                  <c:v>45.02910321873842</c:v>
                </c:pt>
                <c:pt idx="24">
                  <c:v>40.729244661454118</c:v>
                </c:pt>
                <c:pt idx="25">
                  <c:v>40.729244661454118</c:v>
                </c:pt>
                <c:pt idx="26">
                  <c:v>37.900390347451292</c:v>
                </c:pt>
                <c:pt idx="27">
                  <c:v>37.900390347451292</c:v>
                </c:pt>
                <c:pt idx="28">
                  <c:v>33.60053179016699</c:v>
                </c:pt>
                <c:pt idx="29">
                  <c:v>33.60053179016699</c:v>
                </c:pt>
                <c:pt idx="30">
                  <c:v>30.432214958483826</c:v>
                </c:pt>
                <c:pt idx="31">
                  <c:v>30.432214958483826</c:v>
                </c:pt>
                <c:pt idx="32">
                  <c:v>27.490206471920882</c:v>
                </c:pt>
                <c:pt idx="33">
                  <c:v>27.490206471920882</c:v>
                </c:pt>
                <c:pt idx="34">
                  <c:v>25.792893883519191</c:v>
                </c:pt>
                <c:pt idx="35">
                  <c:v>25.792893883519191</c:v>
                </c:pt>
                <c:pt idx="36">
                  <c:v>22.964039569516355</c:v>
                </c:pt>
                <c:pt idx="37">
                  <c:v>22.964039569516355</c:v>
                </c:pt>
                <c:pt idx="38">
                  <c:v>21.266726981114655</c:v>
                </c:pt>
                <c:pt idx="39">
                  <c:v>21.266726981114655</c:v>
                </c:pt>
                <c:pt idx="40">
                  <c:v>19.795722737833184</c:v>
                </c:pt>
                <c:pt idx="41">
                  <c:v>19.795722737833184</c:v>
                </c:pt>
                <c:pt idx="42">
                  <c:v>19.795722737833184</c:v>
                </c:pt>
                <c:pt idx="43">
                  <c:v>19.795722737833184</c:v>
                </c:pt>
                <c:pt idx="44">
                  <c:v>19.795722737833184</c:v>
                </c:pt>
                <c:pt idx="45">
                  <c:v>19.795722737833184</c:v>
                </c:pt>
                <c:pt idx="46">
                  <c:v>19.795722737833184</c:v>
                </c:pt>
                <c:pt idx="47">
                  <c:v>19.466622874468655</c:v>
                </c:pt>
                <c:pt idx="48">
                  <c:v>18.675453543580915</c:v>
                </c:pt>
                <c:pt idx="49">
                  <c:v>17.914151498461759</c:v>
                </c:pt>
                <c:pt idx="50">
                  <c:v>17.181056799646512</c:v>
                </c:pt>
                <c:pt idx="51">
                  <c:v>16.47463027667234</c:v>
                </c:pt>
                <c:pt idx="52">
                  <c:v>15.793442741084853</c:v>
                </c:pt>
                <c:pt idx="53">
                  <c:v>15.136165335336251</c:v>
                </c:pt>
                <c:pt idx="54">
                  <c:v>14.501560880435177</c:v>
                </c:pt>
                <c:pt idx="55">
                  <c:v>13.888476103809939</c:v>
                </c:pt>
                <c:pt idx="56">
                  <c:v>13.29583464465772</c:v>
                </c:pt>
                <c:pt idx="57">
                  <c:v>12.722630747529221</c:v>
                </c:pt>
                <c:pt idx="58">
                  <c:v>12.167923566418416</c:v>
                </c:pt>
                <c:pt idx="59">
                  <c:v>11.630832011500971</c:v>
                </c:pt>
                <c:pt idx="60">
                  <c:v>11.110530079149573</c:v>
                </c:pt>
                <c:pt idx="61">
                  <c:v>10.606242613164031</c:v>
                </c:pt>
                <c:pt idx="62">
                  <c:v>10.117241451466976</c:v>
                </c:pt>
                <c:pt idx="63">
                  <c:v>9.6428419179796894</c:v>
                </c:pt>
                <c:pt idx="64">
                  <c:v>9.1823996241339874</c:v>
                </c:pt>
                <c:pt idx="65">
                  <c:v>8.7353075485982981</c:v>
                </c:pt>
                <c:pt idx="66">
                  <c:v>8.3009933673879548</c:v>
                </c:pt>
                <c:pt idx="67">
                  <c:v>7.8789170096668677</c:v>
                </c:pt>
                <c:pt idx="68">
                  <c:v>7.4685684172917526</c:v>
                </c:pt>
                <c:pt idx="69">
                  <c:v>7.0694654885564665</c:v>
                </c:pt>
                <c:pt idx="70">
                  <c:v>6.6811521887071565</c:v>
                </c:pt>
                <c:pt idx="71">
                  <c:v>6.3031968116584558</c:v>
                </c:pt>
                <c:pt idx="72">
                  <c:v>5.9351903789806357</c:v>
                </c:pt>
                <c:pt idx="73">
                  <c:v>5.5767451636750369</c:v>
                </c:pt>
                <c:pt idx="74">
                  <c:v>5.2274933275358002</c:v>
                </c:pt>
                <c:pt idx="75">
                  <c:v>4.887085662030711</c:v>
                </c:pt>
                <c:pt idx="76">
                  <c:v>4.5551904236406813</c:v>
                </c:pt>
                <c:pt idx="77">
                  <c:v>4.2314922554928787</c:v>
                </c:pt>
                <c:pt idx="78">
                  <c:v>3.9156911879188585</c:v>
                </c:pt>
                <c:pt idx="79">
                  <c:v>3.6075017112799146</c:v>
                </c:pt>
                <c:pt idx="80">
                  <c:v>3.3066519150356415</c:v>
                </c:pt>
                <c:pt idx="81">
                  <c:v>3.0128826875992418</c:v>
                </c:pt>
                <c:pt idx="82">
                  <c:v>2.7259469720304654</c:v>
                </c:pt>
                <c:pt idx="83">
                  <c:v>2.4456090730725322</c:v>
                </c:pt>
                <c:pt idx="84">
                  <c:v>2.171644011447714</c:v>
                </c:pt>
                <c:pt idx="85">
                  <c:v>1.9038369216939657</c:v>
                </c:pt>
                <c:pt idx="86">
                  <c:v>1.6419824901550273</c:v>
                </c:pt>
                <c:pt idx="87">
                  <c:v>1.3858844300347699</c:v>
                </c:pt>
                <c:pt idx="88">
                  <c:v>1.1353549906949041</c:v>
                </c:pt>
                <c:pt idx="89">
                  <c:v>0.89021449861806445</c:v>
                </c:pt>
                <c:pt idx="90">
                  <c:v>0.6502909276776706</c:v>
                </c:pt>
                <c:pt idx="91">
                  <c:v>0.41541949655465094</c:v>
                </c:pt>
                <c:pt idx="92">
                  <c:v>0.18544229132111525</c:v>
                </c:pt>
                <c:pt idx="93">
                  <c:v>-3.9792088625557658E-2</c:v>
                </c:pt>
                <c:pt idx="94">
                  <c:v>-0.26042886294650319</c:v>
                </c:pt>
                <c:pt idx="95">
                  <c:v>-0.47660738259637725</c:v>
                </c:pt>
                <c:pt idx="96">
                  <c:v>-0.68846142332036353</c:v>
                </c:pt>
                <c:pt idx="97">
                  <c:v>-0.89611946171203982</c:v>
                </c:pt>
                <c:pt idx="98">
                  <c:v>-1.0997049350292316</c:v>
                </c:pt>
                <c:pt idx="99">
                  <c:v>-1.2993364858718992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UI!$U$2</c:f>
              <c:strCache>
                <c:ptCount val="1"/>
                <c:pt idx="0">
                  <c:v>siboor-42sth48-2504(s45)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62.239341870532691</c:v>
                </c:pt>
                <c:pt idx="1">
                  <c:v>62.239341870532691</c:v>
                </c:pt>
                <c:pt idx="2">
                  <c:v>62.239341870532691</c:v>
                </c:pt>
                <c:pt idx="3">
                  <c:v>62.239341870532691</c:v>
                </c:pt>
                <c:pt idx="4">
                  <c:v>62.239341870532691</c:v>
                </c:pt>
                <c:pt idx="5">
                  <c:v>62.239341870532691</c:v>
                </c:pt>
                <c:pt idx="6">
                  <c:v>61.673571007732107</c:v>
                </c:pt>
                <c:pt idx="7">
                  <c:v>61.673571007732107</c:v>
                </c:pt>
                <c:pt idx="8">
                  <c:v>61.673571007732107</c:v>
                </c:pt>
                <c:pt idx="9">
                  <c:v>60.881491799811307</c:v>
                </c:pt>
                <c:pt idx="10">
                  <c:v>60.881491799811307</c:v>
                </c:pt>
                <c:pt idx="11">
                  <c:v>60.881491799811307</c:v>
                </c:pt>
                <c:pt idx="12">
                  <c:v>60.54202928213099</c:v>
                </c:pt>
                <c:pt idx="13">
                  <c:v>60.54202928213099</c:v>
                </c:pt>
                <c:pt idx="14">
                  <c:v>60.54202928213099</c:v>
                </c:pt>
                <c:pt idx="15">
                  <c:v>60.54202928213099</c:v>
                </c:pt>
                <c:pt idx="16">
                  <c:v>60.202566764450651</c:v>
                </c:pt>
                <c:pt idx="17">
                  <c:v>60.202566764450651</c:v>
                </c:pt>
                <c:pt idx="18">
                  <c:v>60.202566764450651</c:v>
                </c:pt>
                <c:pt idx="19">
                  <c:v>57.713174968128151</c:v>
                </c:pt>
                <c:pt idx="20">
                  <c:v>57.713174968128151</c:v>
                </c:pt>
                <c:pt idx="21">
                  <c:v>57.713174968128151</c:v>
                </c:pt>
                <c:pt idx="22">
                  <c:v>54.31854979132477</c:v>
                </c:pt>
                <c:pt idx="23">
                  <c:v>54.31854979132477</c:v>
                </c:pt>
                <c:pt idx="24">
                  <c:v>54.31854979132477</c:v>
                </c:pt>
                <c:pt idx="25">
                  <c:v>54.31854979132477</c:v>
                </c:pt>
                <c:pt idx="26">
                  <c:v>50.923924614521376</c:v>
                </c:pt>
                <c:pt idx="27">
                  <c:v>50.923924614521376</c:v>
                </c:pt>
                <c:pt idx="28">
                  <c:v>50.923924614521376</c:v>
                </c:pt>
                <c:pt idx="29">
                  <c:v>47.529299437717974</c:v>
                </c:pt>
                <c:pt idx="30">
                  <c:v>47.529299437717974</c:v>
                </c:pt>
                <c:pt idx="31">
                  <c:v>47.529299437717974</c:v>
                </c:pt>
                <c:pt idx="32">
                  <c:v>43.56890339811401</c:v>
                </c:pt>
                <c:pt idx="33">
                  <c:v>43.56890339811401</c:v>
                </c:pt>
                <c:pt idx="34">
                  <c:v>43.56890339811401</c:v>
                </c:pt>
                <c:pt idx="35">
                  <c:v>43.56890339811401</c:v>
                </c:pt>
                <c:pt idx="36">
                  <c:v>39.608507358510053</c:v>
                </c:pt>
                <c:pt idx="37">
                  <c:v>39.608507358510053</c:v>
                </c:pt>
                <c:pt idx="38">
                  <c:v>39.608507358510053</c:v>
                </c:pt>
                <c:pt idx="39">
                  <c:v>36.213882181706659</c:v>
                </c:pt>
                <c:pt idx="40">
                  <c:v>36.213882181706659</c:v>
                </c:pt>
                <c:pt idx="41">
                  <c:v>36.213882181706659</c:v>
                </c:pt>
                <c:pt idx="42">
                  <c:v>33.385027867703826</c:v>
                </c:pt>
                <c:pt idx="43">
                  <c:v>33.385027867703826</c:v>
                </c:pt>
                <c:pt idx="44">
                  <c:v>33.385027867703826</c:v>
                </c:pt>
                <c:pt idx="45">
                  <c:v>33.385027867703826</c:v>
                </c:pt>
                <c:pt idx="46">
                  <c:v>30.556173553701001</c:v>
                </c:pt>
                <c:pt idx="47">
                  <c:v>30.556173553701001</c:v>
                </c:pt>
                <c:pt idx="48">
                  <c:v>30.556173553701001</c:v>
                </c:pt>
                <c:pt idx="49">
                  <c:v>28.293090102498738</c:v>
                </c:pt>
                <c:pt idx="50">
                  <c:v>27.928947931949381</c:v>
                </c:pt>
                <c:pt idx="51">
                  <c:v>26.93215588212621</c:v>
                </c:pt>
                <c:pt idx="52">
                  <c:v>25.086962839878112</c:v>
                </c:pt>
                <c:pt idx="53">
                  <c:v>24.203000652856971</c:v>
                </c:pt>
                <c:pt idx="54">
                  <c:v>23.349741676172734</c:v>
                </c:pt>
                <c:pt idx="55">
                  <c:v>22.525613565778453</c:v>
                </c:pt>
                <c:pt idx="56">
                  <c:v>20.940510329915796</c:v>
                </c:pt>
                <c:pt idx="57">
                  <c:v>20.207729755296629</c:v>
                </c:pt>
                <c:pt idx="58">
                  <c:v>19.498748062859722</c:v>
                </c:pt>
                <c:pt idx="59">
                  <c:v>18.321331252276781</c:v>
                </c:pt>
                <c:pt idx="60">
                  <c:v>17.679172052807356</c:v>
                </c:pt>
                <c:pt idx="61">
                  <c:v>17.056899763924971</c:v>
                </c:pt>
                <c:pt idx="62">
                  <c:v>15.903140846815234</c:v>
                </c:pt>
                <c:pt idx="63">
                  <c:v>15.342619801702662</c:v>
                </c:pt>
                <c:pt idx="64">
                  <c:v>14.798686859264734</c:v>
                </c:pt>
                <c:pt idx="65">
                  <c:v>14.270616392266701</c:v>
                </c:pt>
                <c:pt idx="66">
                  <c:v>13.429363004304015</c:v>
                </c:pt>
                <c:pt idx="67">
                  <c:v>12.94559784070276</c:v>
                </c:pt>
                <c:pt idx="68">
                  <c:v>12.475349239959073</c:v>
                </c:pt>
                <c:pt idx="69">
                  <c:v>11.633436394989781</c:v>
                </c:pt>
                <c:pt idx="70">
                  <c:v>11.205330615767602</c:v>
                </c:pt>
                <c:pt idx="71">
                  <c:v>10.788705113079017</c:v>
                </c:pt>
                <c:pt idx="72">
                  <c:v>10.092600313736492</c:v>
                </c:pt>
                <c:pt idx="73">
                  <c:v>9.7099458504203895</c:v>
                </c:pt>
                <c:pt idx="74">
                  <c:v>9.3371560191754295</c:v>
                </c:pt>
                <c:pt idx="75">
                  <c:v>8.9738542167307767</c:v>
                </c:pt>
                <c:pt idx="76">
                  <c:v>8.4579028864713219</c:v>
                </c:pt>
                <c:pt idx="77">
                  <c:v>8.1194850522969944</c:v>
                </c:pt>
                <c:pt idx="78">
                  <c:v>7.7893636953225043</c:v>
                </c:pt>
                <c:pt idx="79">
                  <c:v>7.2564215867800472</c:v>
                </c:pt>
                <c:pt idx="80">
                  <c:v>6.9510535670338989</c:v>
                </c:pt>
                <c:pt idx="81">
                  <c:v>6.6529062632449669</c:v>
                </c:pt>
                <c:pt idx="82">
                  <c:v>6.3617265570268415</c:v>
                </c:pt>
                <c:pt idx="83">
                  <c:v>6.0772730239268133</c:v>
                </c:pt>
                <c:pt idx="84">
                  <c:v>5.7993152658197609</c:v>
                </c:pt>
                <c:pt idx="85">
                  <c:v>5.5276332885221002</c:v>
                </c:pt>
                <c:pt idx="86">
                  <c:v>5.2620169210921519</c:v>
                </c:pt>
                <c:pt idx="87">
                  <c:v>5.0022652735954409</c:v>
                </c:pt>
                <c:pt idx="88">
                  <c:v>4.7481862303949214</c:v>
                </c:pt>
                <c:pt idx="89">
                  <c:v>4.4995959762800402</c:v>
                </c:pt>
                <c:pt idx="90">
                  <c:v>4.2563185529783025</c:v>
                </c:pt>
                <c:pt idx="91">
                  <c:v>4.0181854438007036</c:v>
                </c:pt>
                <c:pt idx="92">
                  <c:v>3.7850351843605523</c:v>
                </c:pt>
                <c:pt idx="93">
                  <c:v>3.5567129974760068</c:v>
                </c:pt>
                <c:pt idx="94">
                  <c:v>3.3330704505215127</c:v>
                </c:pt>
                <c:pt idx="95">
                  <c:v>3.1139651336339926</c:v>
                </c:pt>
                <c:pt idx="96">
                  <c:v>2.8992603573079236</c:v>
                </c:pt>
                <c:pt idx="97">
                  <c:v>2.68882486802993</c:v>
                </c:pt>
                <c:pt idx="98">
                  <c:v>2.4825325807096323</c:v>
                </c:pt>
                <c:pt idx="99">
                  <c:v>2.2802623267607816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UI!$V$2</c:f>
              <c:strCache>
                <c:ptCount val="1"/>
                <c:pt idx="0">
                  <c:v>Leadshine 42CM08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76.70033037229544</c:v>
                </c:pt>
                <c:pt idx="1">
                  <c:v>76.70033037229544</c:v>
                </c:pt>
                <c:pt idx="2">
                  <c:v>76.70033037229544</c:v>
                </c:pt>
                <c:pt idx="3">
                  <c:v>76.70033037229544</c:v>
                </c:pt>
                <c:pt idx="4">
                  <c:v>76.70033037229544</c:v>
                </c:pt>
                <c:pt idx="5">
                  <c:v>76.70033037229544</c:v>
                </c:pt>
                <c:pt idx="6">
                  <c:v>73.305705195492038</c:v>
                </c:pt>
                <c:pt idx="7">
                  <c:v>73.305705195492038</c:v>
                </c:pt>
                <c:pt idx="8">
                  <c:v>73.305705195492038</c:v>
                </c:pt>
                <c:pt idx="9">
                  <c:v>69.345309155888089</c:v>
                </c:pt>
                <c:pt idx="10">
                  <c:v>69.345309155888089</c:v>
                </c:pt>
                <c:pt idx="11">
                  <c:v>69.345309155888089</c:v>
                </c:pt>
                <c:pt idx="12">
                  <c:v>65.950683979084687</c:v>
                </c:pt>
                <c:pt idx="13">
                  <c:v>65.950683979084687</c:v>
                </c:pt>
                <c:pt idx="14">
                  <c:v>65.950683979084687</c:v>
                </c:pt>
                <c:pt idx="15">
                  <c:v>65.950683979084687</c:v>
                </c:pt>
                <c:pt idx="16">
                  <c:v>62.216596284600953</c:v>
                </c:pt>
                <c:pt idx="17">
                  <c:v>62.216596284600953</c:v>
                </c:pt>
                <c:pt idx="18">
                  <c:v>62.216596284600953</c:v>
                </c:pt>
                <c:pt idx="19">
                  <c:v>56.332579311475072</c:v>
                </c:pt>
                <c:pt idx="20">
                  <c:v>56.332579311475072</c:v>
                </c:pt>
                <c:pt idx="21">
                  <c:v>56.332579311475072</c:v>
                </c:pt>
                <c:pt idx="22">
                  <c:v>51.24064154626997</c:v>
                </c:pt>
                <c:pt idx="23">
                  <c:v>51.24064154626997</c:v>
                </c:pt>
                <c:pt idx="24">
                  <c:v>51.24064154626997</c:v>
                </c:pt>
                <c:pt idx="25">
                  <c:v>51.24064154626997</c:v>
                </c:pt>
                <c:pt idx="26">
                  <c:v>46.148703781064889</c:v>
                </c:pt>
                <c:pt idx="27">
                  <c:v>46.148703781064889</c:v>
                </c:pt>
                <c:pt idx="28">
                  <c:v>46.148703781064889</c:v>
                </c:pt>
                <c:pt idx="29">
                  <c:v>41.848845223780586</c:v>
                </c:pt>
                <c:pt idx="30">
                  <c:v>41.848845223780586</c:v>
                </c:pt>
                <c:pt idx="31">
                  <c:v>41.848845223780586</c:v>
                </c:pt>
                <c:pt idx="32">
                  <c:v>36.530599113455267</c:v>
                </c:pt>
                <c:pt idx="33">
                  <c:v>36.530599113455267</c:v>
                </c:pt>
                <c:pt idx="34">
                  <c:v>36.530599113455267</c:v>
                </c:pt>
                <c:pt idx="35">
                  <c:v>34.647593698675017</c:v>
                </c:pt>
                <c:pt idx="36">
                  <c:v>30.055088633891714</c:v>
                </c:pt>
                <c:pt idx="37">
                  <c:v>28.513677219567509</c:v>
                </c:pt>
                <c:pt idx="38">
                  <c:v>27.048099041782777</c:v>
                </c:pt>
                <c:pt idx="39">
                  <c:v>23.693392393225896</c:v>
                </c:pt>
                <c:pt idx="40">
                  <c:v>22.471347219084642</c:v>
                </c:pt>
                <c:pt idx="41">
                  <c:v>21.305291538221645</c:v>
                </c:pt>
                <c:pt idx="42">
                  <c:v>19.114077297342956</c:v>
                </c:pt>
                <c:pt idx="43">
                  <c:v>18.104661980414932</c:v>
                </c:pt>
                <c:pt idx="44">
                  <c:v>17.138520307628252</c:v>
                </c:pt>
                <c:pt idx="45">
                  <c:v>16.212927962423489</c:v>
                </c:pt>
                <c:pt idx="46">
                  <c:v>14.78919869740389</c:v>
                </c:pt>
                <c:pt idx="47">
                  <c:v>13.964537994110067</c:v>
                </c:pt>
                <c:pt idx="48">
                  <c:v>13.172438688113932</c:v>
                </c:pt>
                <c:pt idx="49">
                  <c:v>11.973444516014922</c:v>
                </c:pt>
                <c:pt idx="50">
                  <c:v>11.262825891163553</c:v>
                </c:pt>
                <c:pt idx="51">
                  <c:v>10.578696861298084</c:v>
                </c:pt>
                <c:pt idx="52">
                  <c:v>9.3200761238628225</c:v>
                </c:pt>
                <c:pt idx="53">
                  <c:v>8.7139904352663002</c:v>
                </c:pt>
                <c:pt idx="54">
                  <c:v>8.1293012947569689</c:v>
                </c:pt>
                <c:pt idx="55">
                  <c:v>7.5648953166979398</c:v>
                </c:pt>
                <c:pt idx="56">
                  <c:v>6.297438544035046</c:v>
                </c:pt>
                <c:pt idx="57">
                  <c:v>5.804486229858921</c:v>
                </c:pt>
                <c:pt idx="58">
                  <c:v>5.3277888436331411</c:v>
                </c:pt>
                <c:pt idx="59">
                  <c:v>4.3450925725566183</c:v>
                </c:pt>
                <c:pt idx="60">
                  <c:v>3.9215943054229569</c:v>
                </c:pt>
                <c:pt idx="61">
                  <c:v>3.5114025760841887</c:v>
                </c:pt>
                <c:pt idx="62">
                  <c:v>2.6132919616640322</c:v>
                </c:pt>
                <c:pt idx="63">
                  <c:v>2.2488097161103044</c:v>
                </c:pt>
                <c:pt idx="64">
                  <c:v>1.8952642356360514</c:v>
                </c:pt>
                <c:pt idx="65">
                  <c:v>1.5521705386464788</c:v>
                </c:pt>
                <c:pt idx="66">
                  <c:v>0.75229405713681674</c:v>
                </c:pt>
                <c:pt idx="67">
                  <c:v>0.44729519345422664</c:v>
                </c:pt>
                <c:pt idx="68">
                  <c:v>0.15093008428313226</c:v>
                </c:pt>
                <c:pt idx="69">
                  <c:v>-0.43799948124680271</c:v>
                </c:pt>
                <c:pt idx="70">
                  <c:v>-0.70682465677071782</c:v>
                </c:pt>
                <c:pt idx="71">
                  <c:v>-0.96835002334636622</c:v>
                </c:pt>
                <c:pt idx="72">
                  <c:v>-1.3644554880466402</c:v>
                </c:pt>
                <c:pt idx="73">
                  <c:v>-1.607024595637961</c:v>
                </c:pt>
                <c:pt idx="74">
                  <c:v>-1.8432646572279154</c:v>
                </c:pt>
                <c:pt idx="75">
                  <c:v>-2.0734201864989985</c:v>
                </c:pt>
                <c:pt idx="76">
                  <c:v>-2.3986336067883358</c:v>
                </c:pt>
                <c:pt idx="77">
                  <c:v>-2.6135408476892721</c:v>
                </c:pt>
                <c:pt idx="78">
                  <c:v>-2.8231188845874486</c:v>
                </c:pt>
                <c:pt idx="79">
                  <c:v>-3.0505535559631456</c:v>
                </c:pt>
                <c:pt idx="80">
                  <c:v>-3.249177838155056</c:v>
                </c:pt>
                <c:pt idx="81">
                  <c:v>-3.4430533345767831</c:v>
                </c:pt>
                <c:pt idx="82">
                  <c:v>-3.6323483371308627</c:v>
                </c:pt>
                <c:pt idx="83">
                  <c:v>-3.8172232784472158</c:v>
                </c:pt>
                <c:pt idx="84">
                  <c:v>-3.9978311853760164</c:v>
                </c:pt>
                <c:pt idx="85">
                  <c:v>-4.1743181014380459</c:v>
                </c:pt>
                <c:pt idx="86">
                  <c:v>-4.3468234806836774</c:v>
                </c:pt>
                <c:pt idx="87">
                  <c:v>-4.5154805551928963</c:v>
                </c:pt>
                <c:pt idx="88">
                  <c:v>-4.680416678251631</c:v>
                </c:pt>
                <c:pt idx="89">
                  <c:v>-4.841753645062302</c:v>
                </c:pt>
                <c:pt idx="90">
                  <c:v>-4.9996079926857071</c:v>
                </c:pt>
                <c:pt idx="91">
                  <c:v>-5.1540912807667416</c:v>
                </c:pt>
                <c:pt idx="92">
                  <c:v>-5.3053103544649707</c:v>
                </c:pt>
                <c:pt idx="93">
                  <c:v>-5.4533675908923875</c:v>
                </c:pt>
                <c:pt idx="94">
                  <c:v>-5.598361130252802</c:v>
                </c:pt>
                <c:pt idx="95">
                  <c:v>-5.7403850927795306</c:v>
                </c:pt>
                <c:pt idx="96">
                  <c:v>-5.8795297824790271</c:v>
                </c:pt>
                <c:pt idx="97">
                  <c:v>-6.0158818786072974</c:v>
                </c:pt>
                <c:pt idx="98">
                  <c:v>-6.1495246157322319</c:v>
                </c:pt>
                <c:pt idx="99">
                  <c:v>-6.2805379531678414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UI!$AH$2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UI!$AI$2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UI!$R$3:$R$102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UI!$AI$3:$AI$102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UI!$AL$1</c:f>
          <c:strCache>
            <c:ptCount val="1"/>
            <c:pt idx="0">
              <c:v>Stepper Power, 48V, 20T, 50k, 750g, 120W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UI!$AM$2</c:f>
              <c:strCache>
                <c:ptCount val="1"/>
                <c:pt idx="0">
                  <c:v>Kraken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9</c:v>
                </c:pt>
                <c:pt idx="1">
                  <c:v>10.777369165487977</c:v>
                </c:pt>
                <c:pt idx="2">
                  <c:v>12.554738330975955</c:v>
                </c:pt>
                <c:pt idx="3">
                  <c:v>14.332107496463932</c:v>
                </c:pt>
                <c:pt idx="4">
                  <c:v>16.109476661951909</c:v>
                </c:pt>
                <c:pt idx="5">
                  <c:v>17.886845827439888</c:v>
                </c:pt>
                <c:pt idx="6">
                  <c:v>19.664214992927864</c:v>
                </c:pt>
                <c:pt idx="7">
                  <c:v>21.441584158415843</c:v>
                </c:pt>
                <c:pt idx="8">
                  <c:v>23.218953323903818</c:v>
                </c:pt>
                <c:pt idx="9">
                  <c:v>24.996322489391801</c:v>
                </c:pt>
                <c:pt idx="10">
                  <c:v>26.773691654879777</c:v>
                </c:pt>
                <c:pt idx="11">
                  <c:v>28.551060820367752</c:v>
                </c:pt>
                <c:pt idx="12">
                  <c:v>30.328429985855728</c:v>
                </c:pt>
                <c:pt idx="13">
                  <c:v>32.105799151343703</c:v>
                </c:pt>
                <c:pt idx="14">
                  <c:v>33.883168316831686</c:v>
                </c:pt>
                <c:pt idx="15">
                  <c:v>35.660537482319668</c:v>
                </c:pt>
                <c:pt idx="16">
                  <c:v>37.437906647807637</c:v>
                </c:pt>
                <c:pt idx="17">
                  <c:v>39.215275813295619</c:v>
                </c:pt>
                <c:pt idx="18">
                  <c:v>40.992644978783595</c:v>
                </c:pt>
                <c:pt idx="19">
                  <c:v>42.770014144271578</c:v>
                </c:pt>
                <c:pt idx="20">
                  <c:v>44.547383309759553</c:v>
                </c:pt>
                <c:pt idx="21">
                  <c:v>46.324752475247529</c:v>
                </c:pt>
                <c:pt idx="22">
                  <c:v>48.102121640735504</c:v>
                </c:pt>
                <c:pt idx="23">
                  <c:v>49.879490806223487</c:v>
                </c:pt>
                <c:pt idx="24">
                  <c:v>51.656859971711455</c:v>
                </c:pt>
                <c:pt idx="25">
                  <c:v>53.434229137199445</c:v>
                </c:pt>
                <c:pt idx="26">
                  <c:v>55.211598302687413</c:v>
                </c:pt>
                <c:pt idx="27">
                  <c:v>56.988967468175389</c:v>
                </c:pt>
                <c:pt idx="28">
                  <c:v>58.766336633663371</c:v>
                </c:pt>
                <c:pt idx="29">
                  <c:v>60.543705799151354</c:v>
                </c:pt>
                <c:pt idx="30">
                  <c:v>62.32107496463933</c:v>
                </c:pt>
                <c:pt idx="31">
                  <c:v>64.098444130127305</c:v>
                </c:pt>
                <c:pt idx="32">
                  <c:v>65.875813295615274</c:v>
                </c:pt>
                <c:pt idx="33">
                  <c:v>67.653182461103256</c:v>
                </c:pt>
                <c:pt idx="34">
                  <c:v>67.305818132954357</c:v>
                </c:pt>
                <c:pt idx="35">
                  <c:v>65.456530275576313</c:v>
                </c:pt>
                <c:pt idx="36">
                  <c:v>63.663822800908441</c:v>
                </c:pt>
                <c:pt idx="37">
                  <c:v>61.921129768299529</c:v>
                </c:pt>
                <c:pt idx="38">
                  <c:v>60.222736328792067</c:v>
                </c:pt>
                <c:pt idx="39">
                  <c:v>58.563654094795162</c:v>
                </c:pt>
                <c:pt idx="40">
                  <c:v>56.939516928455994</c:v>
                </c:pt>
                <c:pt idx="41">
                  <c:v>55.346493451268465</c:v>
                </c:pt>
                <c:pt idx="42">
                  <c:v>53.781213309251733</c:v>
                </c:pt>
                <c:pt idx="43">
                  <c:v>52.240704803044778</c:v>
                </c:pt>
                <c:pt idx="44">
                  <c:v>50.722341946559311</c:v>
                </c:pt>
                <c:pt idx="45">
                  <c:v>49.22379937862874</c:v>
                </c:pt>
                <c:pt idx="46">
                  <c:v>47.743013840059319</c:v>
                </c:pt>
                <c:pt idx="47">
                  <c:v>46.278151159427843</c:v>
                </c:pt>
                <c:pt idx="48">
                  <c:v>44.827577877017944</c:v>
                </c:pt>
                <c:pt idx="49">
                  <c:v>43.389836786825711</c:v>
                </c:pt>
                <c:pt idx="50">
                  <c:v>41.963625798883342</c:v>
                </c:pt>
                <c:pt idx="51">
                  <c:v>40.547779623936954</c:v>
                </c:pt>
                <c:pt idx="52">
                  <c:v>39.141253864236091</c:v>
                </c:pt>
                <c:pt idx="53">
                  <c:v>37.743111161368041</c:v>
                </c:pt>
                <c:pt idx="54">
                  <c:v>36.35250910748497</c:v>
                </c:pt>
                <c:pt idx="55">
                  <c:v>34.96868967214364</c:v>
                </c:pt>
                <c:pt idx="56">
                  <c:v>33.590969935074497</c:v>
                </c:pt>
                <c:pt idx="57">
                  <c:v>32.218733946938372</c:v>
                </c:pt>
                <c:pt idx="58">
                  <c:v>30.85142556665647</c:v>
                </c:pt>
                <c:pt idx="59">
                  <c:v>29.4885421461357</c:v>
                </c:pt>
                <c:pt idx="60">
                  <c:v>28.129628951903232</c:v>
                </c:pt>
                <c:pt idx="61">
                  <c:v>26.77427422892162</c:v>
                </c:pt>
                <c:pt idx="62">
                  <c:v>25.422104825173641</c:v>
                </c:pt>
                <c:pt idx="63">
                  <c:v>24.072782306892421</c:v>
                </c:pt>
                <c:pt idx="64">
                  <c:v>22.725999503899999</c:v>
                </c:pt>
                <c:pt idx="65">
                  <c:v>21.381477432683614</c:v>
                </c:pt>
                <c:pt idx="66">
                  <c:v>20.038962551808268</c:v>
                </c:pt>
                <c:pt idx="67">
                  <c:v>18.698224310228021</c:v>
                </c:pt>
                <c:pt idx="68">
                  <c:v>17.359052954172022</c:v>
                </c:pt>
                <c:pt idx="69">
                  <c:v>16.021257562674723</c:v>
                </c:pt>
                <c:pt idx="70">
                  <c:v>14.684664285604159</c:v>
                </c:pt>
                <c:pt idx="71">
                  <c:v>13.34911476130609</c:v>
                </c:pt>
                <c:pt idx="72">
                  <c:v>12.014464693805062</c:v>
                </c:pt>
                <c:pt idx="73">
                  <c:v>10.68058257194769</c:v>
                </c:pt>
                <c:pt idx="74">
                  <c:v>9.3473485149951738</c:v>
                </c:pt>
                <c:pt idx="75">
                  <c:v>8.0146532310169434</c:v>
                </c:pt>
                <c:pt idx="76">
                  <c:v>6.6823970760428093</c:v>
                </c:pt>
                <c:pt idx="77">
                  <c:v>5.3504892033333986</c:v>
                </c:pt>
                <c:pt idx="78">
                  <c:v>4.0188467933520364</c:v>
                </c:pt>
                <c:pt idx="79">
                  <c:v>2.6873943560940363</c:v>
                </c:pt>
                <c:pt idx="80">
                  <c:v>1.3560630983682778</c:v>
                </c:pt>
                <c:pt idx="81">
                  <c:v>2.4790349450877752E-2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UI!$AN$2</c:f>
              <c:strCache>
                <c:ptCount val="1"/>
                <c:pt idx="0">
                  <c:v>siboor-42sth48-2504(s45)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5.625</c:v>
                </c:pt>
                <c:pt idx="1">
                  <c:v>6.9580268741159834</c:v>
                </c:pt>
                <c:pt idx="2">
                  <c:v>8.2910537482319668</c:v>
                </c:pt>
                <c:pt idx="3">
                  <c:v>9.6240806223479503</c:v>
                </c:pt>
                <c:pt idx="4">
                  <c:v>10.957107496463934</c:v>
                </c:pt>
                <c:pt idx="5">
                  <c:v>12.290134370579917</c:v>
                </c:pt>
                <c:pt idx="6">
                  <c:v>13.623161244695901</c:v>
                </c:pt>
                <c:pt idx="7">
                  <c:v>14.956188118811882</c:v>
                </c:pt>
                <c:pt idx="8">
                  <c:v>16.289214992927864</c:v>
                </c:pt>
                <c:pt idx="9">
                  <c:v>17.622241867043847</c:v>
                </c:pt>
                <c:pt idx="10">
                  <c:v>18.955268741159831</c:v>
                </c:pt>
                <c:pt idx="11">
                  <c:v>20.288295615275818</c:v>
                </c:pt>
                <c:pt idx="12">
                  <c:v>21.621322489391801</c:v>
                </c:pt>
                <c:pt idx="13">
                  <c:v>22.954349363507784</c:v>
                </c:pt>
                <c:pt idx="14">
                  <c:v>24.287376237623764</c:v>
                </c:pt>
                <c:pt idx="15">
                  <c:v>25.620403111739748</c:v>
                </c:pt>
                <c:pt idx="16">
                  <c:v>26.953429985855731</c:v>
                </c:pt>
                <c:pt idx="17">
                  <c:v>28.286456859971715</c:v>
                </c:pt>
                <c:pt idx="18">
                  <c:v>29.619483734087698</c:v>
                </c:pt>
                <c:pt idx="19">
                  <c:v>30.952510608203681</c:v>
                </c:pt>
                <c:pt idx="20">
                  <c:v>32.285537482319661</c:v>
                </c:pt>
                <c:pt idx="21">
                  <c:v>33.618564356435648</c:v>
                </c:pt>
                <c:pt idx="22">
                  <c:v>34.951591230551628</c:v>
                </c:pt>
                <c:pt idx="23">
                  <c:v>36.284618104667615</c:v>
                </c:pt>
                <c:pt idx="24">
                  <c:v>37.617644978783595</c:v>
                </c:pt>
                <c:pt idx="25">
                  <c:v>38.950671852899582</c:v>
                </c:pt>
                <c:pt idx="26">
                  <c:v>40.283698727015569</c:v>
                </c:pt>
                <c:pt idx="27">
                  <c:v>41.616725601131549</c:v>
                </c:pt>
                <c:pt idx="28">
                  <c:v>42.949752475247529</c:v>
                </c:pt>
                <c:pt idx="29">
                  <c:v>44.282779349363508</c:v>
                </c:pt>
                <c:pt idx="30">
                  <c:v>45.615806223479495</c:v>
                </c:pt>
                <c:pt idx="31">
                  <c:v>46.948833097595475</c:v>
                </c:pt>
                <c:pt idx="32">
                  <c:v>48.281859971711462</c:v>
                </c:pt>
                <c:pt idx="33">
                  <c:v>49.614886845827442</c:v>
                </c:pt>
                <c:pt idx="34">
                  <c:v>50.947913719943429</c:v>
                </c:pt>
                <c:pt idx="35">
                  <c:v>52.280940594059409</c:v>
                </c:pt>
                <c:pt idx="36">
                  <c:v>53.613967468175396</c:v>
                </c:pt>
                <c:pt idx="37">
                  <c:v>54.946994342291376</c:v>
                </c:pt>
                <c:pt idx="38">
                  <c:v>56.280021216407363</c:v>
                </c:pt>
                <c:pt idx="39">
                  <c:v>57.613048090523343</c:v>
                </c:pt>
                <c:pt idx="40">
                  <c:v>57.274555473933653</c:v>
                </c:pt>
                <c:pt idx="41">
                  <c:v>55.899824551795376</c:v>
                </c:pt>
                <c:pt idx="42">
                  <c:v>54.553361622789446</c:v>
                </c:pt>
                <c:pt idx="43">
                  <c:v>53.232237831818104</c:v>
                </c:pt>
                <c:pt idx="44">
                  <c:v>51.933861756224061</c:v>
                </c:pt>
                <c:pt idx="45">
                  <c:v>50.655935482604022</c:v>
                </c:pt>
                <c:pt idx="46">
                  <c:v>49.396417089146752</c:v>
                </c:pt>
                <c:pt idx="47">
                  <c:v>48.15348849913125</c:v>
                </c:pt>
                <c:pt idx="48">
                  <c:v>46.925527854139446</c:v>
                </c:pt>
                <c:pt idx="49">
                  <c:v>45.71108570336996</c:v>
                </c:pt>
                <c:pt idx="50">
                  <c:v>44.508864425425777</c:v>
                </c:pt>
                <c:pt idx="51">
                  <c:v>43.317700396733507</c:v>
                </c:pt>
                <c:pt idx="52">
                  <c:v>42.136548500755666</c:v>
                </c:pt>
                <c:pt idx="53">
                  <c:v>40.964468637861614</c:v>
                </c:pt>
                <c:pt idx="54">
                  <c:v>39.800613949879214</c:v>
                </c:pt>
                <c:pt idx="55">
                  <c:v>38.644220518143094</c:v>
                </c:pt>
                <c:pt idx="56">
                  <c:v>37.494598331030545</c:v>
                </c:pt>
                <c:pt idx="57">
                  <c:v>36.351123347928954</c:v>
                </c:pt>
                <c:pt idx="58">
                  <c:v>35.213230512429959</c:v>
                </c:pt>
                <c:pt idx="59">
                  <c:v>34.080407589202949</c:v>
                </c:pt>
                <c:pt idx="60">
                  <c:v>32.952189717196447</c:v>
                </c:pt>
                <c:pt idx="61">
                  <c:v>31.82815458714671</c:v>
                </c:pt>
                <c:pt idx="62">
                  <c:v>30.707918164325491</c:v>
                </c:pt>
                <c:pt idx="63">
                  <c:v>29.591130888430243</c:v>
                </c:pt>
                <c:pt idx="64">
                  <c:v>28.477474291837446</c:v>
                </c:pt>
                <c:pt idx="65">
                  <c:v>27.366657985372225</c:v>
                </c:pt>
                <c:pt idx="66">
                  <c:v>26.258416967516197</c:v>
                </c:pt>
                <c:pt idx="67">
                  <c:v>25.152509218765598</c:v>
                </c:pt>
                <c:pt idx="68">
                  <c:v>24.048713547815158</c:v>
                </c:pt>
                <c:pt idx="69">
                  <c:v>22.946827660507601</c:v>
                </c:pt>
                <c:pt idx="70">
                  <c:v>21.84666642616002</c:v>
                </c:pt>
                <c:pt idx="71">
                  <c:v>20.748060319045841</c:v>
                </c:pt>
                <c:pt idx="72">
                  <c:v>19.650854015549157</c:v>
                </c:pt>
                <c:pt idx="73">
                  <c:v>18.55490512987971</c:v>
                </c:pt>
                <c:pt idx="74">
                  <c:v>17.460083073294733</c:v>
                </c:pt>
                <c:pt idx="75">
                  <c:v>16.366268023562931</c:v>
                </c:pt>
                <c:pt idx="76">
                  <c:v>15.273349992963828</c:v>
                </c:pt>
                <c:pt idx="77">
                  <c:v>14.18122798447515</c:v>
                </c:pt>
                <c:pt idx="78">
                  <c:v>13.089809226988605</c:v>
                </c:pt>
                <c:pt idx="79">
                  <c:v>11.999008481434265</c:v>
                </c:pt>
                <c:pt idx="80">
                  <c:v>10.90874741060534</c:v>
                </c:pt>
                <c:pt idx="81">
                  <c:v>9.818954006275483</c:v>
                </c:pt>
                <c:pt idx="82">
                  <c:v>8.7295620679047801</c:v>
                </c:pt>
                <c:pt idx="83">
                  <c:v>7.6405107278505566</c:v>
                </c:pt>
                <c:pt idx="84">
                  <c:v>6.5517440185459197</c:v>
                </c:pt>
                <c:pt idx="85">
                  <c:v>5.4632104775919661</c:v>
                </c:pt>
                <c:pt idx="86">
                  <c:v>4.3748627871367454</c:v>
                </c:pt>
                <c:pt idx="87">
                  <c:v>3.2866574442924774</c:v>
                </c:pt>
                <c:pt idx="88">
                  <c:v>2.1985544596779358</c:v>
                </c:pt>
                <c:pt idx="89">
                  <c:v>1.1105170814709504</c:v>
                </c:pt>
                <c:pt idx="90">
                  <c:v>2.2511542620762881E-2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UI!$AO$2</c:f>
              <c:strCache>
                <c:ptCount val="1"/>
                <c:pt idx="0">
                  <c:v>Leadshine 42CM08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6.25</c:v>
                </c:pt>
                <c:pt idx="1">
                  <c:v>8.0273691654879773</c:v>
                </c:pt>
                <c:pt idx="2">
                  <c:v>9.8047383309759546</c:v>
                </c:pt>
                <c:pt idx="3">
                  <c:v>11.582107496463934</c:v>
                </c:pt>
                <c:pt idx="4">
                  <c:v>13.359476661951909</c:v>
                </c:pt>
                <c:pt idx="5">
                  <c:v>15.136845827439886</c:v>
                </c:pt>
                <c:pt idx="6">
                  <c:v>16.914214992927864</c:v>
                </c:pt>
                <c:pt idx="7">
                  <c:v>18.691584158415843</c:v>
                </c:pt>
                <c:pt idx="8">
                  <c:v>20.468953323903818</c:v>
                </c:pt>
                <c:pt idx="9">
                  <c:v>22.246322489391801</c:v>
                </c:pt>
                <c:pt idx="10">
                  <c:v>24.023691654879773</c:v>
                </c:pt>
                <c:pt idx="11">
                  <c:v>25.801060820367752</c:v>
                </c:pt>
                <c:pt idx="12">
                  <c:v>27.578429985855731</c:v>
                </c:pt>
                <c:pt idx="13">
                  <c:v>29.355799151343707</c:v>
                </c:pt>
                <c:pt idx="14">
                  <c:v>31.133168316831686</c:v>
                </c:pt>
                <c:pt idx="15">
                  <c:v>32.910537482319661</c:v>
                </c:pt>
                <c:pt idx="16">
                  <c:v>34.687906647807637</c:v>
                </c:pt>
                <c:pt idx="17">
                  <c:v>36.465275813295619</c:v>
                </c:pt>
                <c:pt idx="18">
                  <c:v>38.242644978783595</c:v>
                </c:pt>
                <c:pt idx="19">
                  <c:v>40.02001414427157</c:v>
                </c:pt>
                <c:pt idx="20">
                  <c:v>41.797383309759546</c:v>
                </c:pt>
                <c:pt idx="21">
                  <c:v>43.574752475247529</c:v>
                </c:pt>
                <c:pt idx="22">
                  <c:v>45.352121640735504</c:v>
                </c:pt>
                <c:pt idx="23">
                  <c:v>47.12949080622348</c:v>
                </c:pt>
                <c:pt idx="24">
                  <c:v>48.906859971711462</c:v>
                </c:pt>
                <c:pt idx="25">
                  <c:v>50.684229137199438</c:v>
                </c:pt>
                <c:pt idx="26">
                  <c:v>52.461598302687413</c:v>
                </c:pt>
                <c:pt idx="27">
                  <c:v>54.238967468175396</c:v>
                </c:pt>
                <c:pt idx="28">
                  <c:v>54.307242453515443</c:v>
                </c:pt>
                <c:pt idx="29">
                  <c:v>52.579106025570681</c:v>
                </c:pt>
                <c:pt idx="30">
                  <c:v>50.908551410088492</c:v>
                </c:pt>
                <c:pt idx="31">
                  <c:v>49.287516991165511</c:v>
                </c:pt>
                <c:pt idx="32">
                  <c:v>47.709199992534877</c:v>
                </c:pt>
                <c:pt idx="33">
                  <c:v>46.167835188442389</c:v>
                </c:pt>
                <c:pt idx="34">
                  <c:v>44.658516964484001</c:v>
                </c:pt>
                <c:pt idx="35">
                  <c:v>43.177055379760503</c:v>
                </c:pt>
                <c:pt idx="36">
                  <c:v>41.719859076585351</c:v>
                </c:pt>
                <c:pt idx="37">
                  <c:v>40.283839523168304</c:v>
                </c:pt>
                <c:pt idx="38">
                  <c:v>38.866332308685614</c:v>
                </c:pt>
                <c:pt idx="39">
                  <c:v>37.465032146129012</c:v>
                </c:pt>
                <c:pt idx="40">
                  <c:v>36.077938953352309</c:v>
                </c:pt>
                <c:pt idx="41">
                  <c:v>34.703312932673896</c:v>
                </c:pt>
                <c:pt idx="42">
                  <c:v>33.339636995084255</c:v>
                </c:pt>
                <c:pt idx="43">
                  <c:v>31.985585206638682</c:v>
                </c:pt>
                <c:pt idx="44">
                  <c:v>30.639996194317035</c:v>
                </c:pt>
                <c:pt idx="45">
                  <c:v>29.30185065319581</c:v>
                </c:pt>
                <c:pt idx="46">
                  <c:v>27.970252258761306</c:v>
                </c:pt>
                <c:pt idx="47">
                  <c:v>26.644411417108049</c:v>
                </c:pt>
                <c:pt idx="48">
                  <c:v>25.323631388858111</c:v>
                </c:pt>
                <c:pt idx="49">
                  <c:v>24.007296405459936</c:v>
                </c:pt>
                <c:pt idx="50">
                  <c:v>22.694861463357292</c:v>
                </c:pt>
                <c:pt idx="51">
                  <c:v>21.385843535676717</c:v>
                </c:pt>
                <c:pt idx="52">
                  <c:v>20.079813985147045</c:v>
                </c:pt>
                <c:pt idx="53">
                  <c:v>18.77639199795809</c:v>
                </c:pt>
                <c:pt idx="54">
                  <c:v>17.475238887775678</c:v>
                </c:pt>
                <c:pt idx="55">
                  <c:v>16.176053143412272</c:v>
                </c:pt>
                <c:pt idx="56">
                  <c:v>14.878566113702158</c:v>
                </c:pt>
                <c:pt idx="57">
                  <c:v>13.582538239739863</c:v>
                </c:pt>
                <c:pt idx="58">
                  <c:v>12.287755758444883</c:v>
                </c:pt>
                <c:pt idx="59">
                  <c:v>10.994027812925033</c:v>
                </c:pt>
                <c:pt idx="60">
                  <c:v>9.7011839147336172</c:v>
                </c:pt>
                <c:pt idx="61">
                  <c:v>8.4090717111857725</c:v>
                </c:pt>
                <c:pt idx="62">
                  <c:v>7.1175550176861115</c:v>
                </c:pt>
                <c:pt idx="63">
                  <c:v>5.8265120807416055</c:v>
                </c:pt>
                <c:pt idx="64">
                  <c:v>4.5358340421713725</c:v>
                </c:pt>
                <c:pt idx="65">
                  <c:v>3.2454235791252537</c:v>
                </c:pt>
                <c:pt idx="66">
                  <c:v>1.9551936980059936</c:v>
                </c:pt>
                <c:pt idx="67">
                  <c:v>0.66506666335652787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UI!$AP$2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UI!$BA$2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UI!$BA$3:$BA$102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UI!$BB$2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UI!$AL$3:$AL$102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UI!$BB$3:$BB$102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61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329405</xdr:colOff>
      <xdr:row>32</xdr:row>
      <xdr:rowOff>48948</xdr:rowOff>
    </xdr:from>
    <xdr:to>
      <xdr:col>16</xdr:col>
      <xdr:colOff>112447</xdr:colOff>
      <xdr:row>75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18</xdr:row>
      <xdr:rowOff>0</xdr:rowOff>
    </xdr:from>
    <xdr:to>
      <xdr:col>16</xdr:col>
      <xdr:colOff>504825</xdr:colOff>
      <xdr:row>40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727167-1B21-29B8-E4A2-1A540D249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3429000"/>
          <a:ext cx="6010275" cy="421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18</xdr:row>
      <xdr:rowOff>0</xdr:rowOff>
    </xdr:from>
    <xdr:to>
      <xdr:col>26</xdr:col>
      <xdr:colOff>542925</xdr:colOff>
      <xdr:row>40</xdr:row>
      <xdr:rowOff>57274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BE0BA5-3033-4D18-04E8-1F40A4901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6150" y="3429000"/>
          <a:ext cx="5419725" cy="424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17</xdr:col>
      <xdr:colOff>495300</xdr:colOff>
      <xdr:row>72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52C70A3-44DC-A3B5-23DC-0673030838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9144000"/>
          <a:ext cx="6610350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1412252" cy="62947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5109EB-82B8-4833-877F-16AF08FBF642}" name="Curve2804" displayName="Curve2804" ref="A2:B15" totalsRowShown="0">
  <autoFilter ref="A2:B15" xr:uid="{DC5109EB-82B8-4833-877F-16AF08FBF642}"/>
  <tableColumns count="2">
    <tableColumn id="1" xr3:uid="{6F08FD85-0396-4170-A367-361ED2FCCEA8}" name="RPM"/>
    <tableColumn id="2" xr3:uid="{77025DE3-7C13-48FF-A754-5D9A651A07F7}" name="Torq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8D1754-7D58-411F-A871-F4C4CFBB736B}" name="CurveCM06_24" displayName="CurveCM06_24" ref="A21:B45" totalsRowShown="0">
  <autoFilter ref="A21:B45" xr:uid="{388D1754-7D58-411F-A871-F4C4CFBB736B}"/>
  <tableColumns count="2">
    <tableColumn id="1" xr3:uid="{E63B9587-52A8-4BC1-88F6-09134CF4530B}" name="RPM"/>
    <tableColumn id="2" xr3:uid="{04B94BB7-A3A1-4B2A-B3E8-845B06B89C27}" name="Torq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E8FF67-D8FA-422E-B170-B80208C7544D}" name="CurveCM06_36" displayName="CurveCM06_36" ref="D21:E45" totalsRowShown="0">
  <autoFilter ref="D21:E45" xr:uid="{E2E8FF67-D8FA-422E-B170-B80208C7544D}"/>
  <tableColumns count="2">
    <tableColumn id="1" xr3:uid="{366A5862-D9C8-48F5-9A59-728DB8E1A24D}" name="RPM"/>
    <tableColumn id="2" xr3:uid="{C860CC64-185A-4A48-A383-27F067DA5FC5}" name="Torq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3E86D2-B4FF-466E-8A92-66365910DEE4}" name="Curve2504" displayName="Curve2504" ref="A82:B102" totalsRowShown="0">
  <autoFilter ref="A82:B102" xr:uid="{083E86D2-B4FF-466E-8A92-66365910DEE4}"/>
  <tableColumns count="2">
    <tableColumn id="1" xr3:uid="{A9FCCB25-51CB-40FB-BF31-71D5A2D31187}" name="RPM"/>
    <tableColumn id="2" xr3:uid="{8D30EF9A-E34E-4176-9C3C-D15BD6DB571C}" name="Torq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195EE0A-984F-4F36-A52D-556A1461E4C8}" name="Kraken_24" displayName="Kraken_24" ref="A105:B125" totalsRowShown="0">
  <autoFilter ref="A105:B125" xr:uid="{A195EE0A-984F-4F36-A52D-556A1461E4C8}"/>
  <tableColumns count="2">
    <tableColumn id="1" xr3:uid="{DA9DF0CE-6BAD-4956-A414-1B6CA5AA7819}" name="RPM"/>
    <tableColumn id="2" xr3:uid="{54485CE8-FAA5-4274-84EE-57EC2D0FF309}" name="Torq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15E7C7-E447-4610-A2C6-0B70BFFFA5F0}" name="Kraken_48" displayName="Kraken_48" ref="D105:E125" totalsRowShown="0">
  <autoFilter ref="D105:E125" xr:uid="{8A15E7C7-E447-4610-A2C6-0B70BFFFA5F0}"/>
  <tableColumns count="2">
    <tableColumn id="1" xr3:uid="{58C9841A-7DC0-457C-8B0C-FA04968990B2}" name="RPM"/>
    <tableColumn id="2" xr3:uid="{A54DBFB4-CD43-4BA1-B6E8-7C2213C2D992}" name="Torq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E60051-DDB5-42CA-B19B-2CC35C566EF5}" name="Kraken_60" displayName="Kraken_60" ref="G105:H125" totalsRowShown="0">
  <autoFilter ref="G105:H125" xr:uid="{B0E60051-DDB5-42CA-B19B-2CC35C566EF5}"/>
  <tableColumns count="2">
    <tableColumn id="1" xr3:uid="{7B4D9143-9897-49AD-806A-E9D1F4A03635}" name="RPM"/>
    <tableColumn id="2" xr3:uid="{B1BE4814-F0C1-4B10-B4E4-E2E456905B79}" name="Torq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22ECF62-8E2D-46AA-ACDF-1C8C2B0971BC}" name="CurveCM08_24" displayName="CurveCM08_24" ref="A50:B74" totalsRowShown="0">
  <autoFilter ref="A50:B74" xr:uid="{222ECF62-8E2D-46AA-ACDF-1C8C2B0971BC}"/>
  <tableColumns count="2">
    <tableColumn id="1" xr3:uid="{C546FC16-C155-4503-9E39-09861B1E615E}" name="RPM"/>
    <tableColumn id="2" xr3:uid="{E464F314-CBB3-4CF8-A930-B7F3ABC6CDA5}" name="Torqu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EE4BC47-A12C-4A55-8CDC-F6913ED76F90}" name="CurveCM08_36" displayName="CurveCM08_36" ref="D50:E74" totalsRowShown="0">
  <autoFilter ref="D50:E74" xr:uid="{5EE4BC47-A12C-4A55-8CDC-F6913ED76F90}"/>
  <tableColumns count="2">
    <tableColumn id="1" xr3:uid="{00BF66E9-1FB4-45FB-82A8-1979F8C11414}" name="RPM"/>
    <tableColumn id="2" xr3:uid="{7FD81526-FDA3-4E4D-9482-5F40D3972C76}" name="Torq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de.aliexpress.com/item/1741988792.html" TargetMode="External"/><Relationship Id="rId2" Type="http://schemas.openxmlformats.org/officeDocument/2006/relationships/hyperlink" Target="https://github.com/FYSETC/FYSETC-Voron-0/blob/main/Docs/Stepper%20motor%20parameters/42HSC1404B-200N8.pdf" TargetMode="External"/><Relationship Id="rId1" Type="http://schemas.openxmlformats.org/officeDocument/2006/relationships/hyperlink" Target="https://github.com/FYSETC/FYSETC-Voron-0/blob/main/Docs/Stepper%20motor%20parameters/35HSH7402-24B-400A.pdf" TargetMode="External"/><Relationship Id="rId4" Type="http://schemas.openxmlformats.org/officeDocument/2006/relationships/hyperlink" Target="https://de.aliexpress.com/item/1005004878027009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C169"/>
  <sheetViews>
    <sheetView tabSelected="1" topLeftCell="A14" zoomScale="80" zoomScaleNormal="80" workbookViewId="0">
      <selection activeCell="L7" sqref="L7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9" max="9" width="14.42578125" customWidth="1"/>
    <col min="20" max="20" width="5.28515625" customWidth="1"/>
    <col min="21" max="21" width="5.140625" customWidth="1"/>
    <col min="22" max="54" width="5" customWidth="1"/>
  </cols>
  <sheetData>
    <row r="1" spans="1:55" x14ac:dyDescent="0.25">
      <c r="T1" t="str">
        <f>CONCATENATE("Stepper Torque, ",F2)</f>
        <v>Stepper Torque, 48V, 20T, 50k, 750g, 120W</v>
      </c>
      <c r="AL1" t="str">
        <f>CONCATENATE("Stepper Power, ",F2)</f>
        <v>Stepper Power, 48V, 20T, 50k, 750g, 120W</v>
      </c>
    </row>
    <row r="2" spans="1:55" ht="134.25" x14ac:dyDescent="0.25">
      <c r="B2" s="1" t="s">
        <v>3</v>
      </c>
      <c r="C2">
        <v>48</v>
      </c>
      <c r="D2" t="s">
        <v>61</v>
      </c>
      <c r="F2" t="str">
        <f>CONCATENATE(C2, "V, ", C6, "T, ",C10/1000,"k, ", C11, "g, ",C5,"W")</f>
        <v>48V, 20T, 50k, 750g, 120W</v>
      </c>
      <c r="R2" t="s">
        <v>1</v>
      </c>
      <c r="T2" s="3" t="str">
        <f>C15</f>
        <v>Kraken</v>
      </c>
      <c r="U2" s="3" t="str">
        <f>C16</f>
        <v>siboor-42sth48-2504(s45)</v>
      </c>
      <c r="V2" s="3" t="str">
        <f>C17</f>
        <v>Leadshine 42CM08</v>
      </c>
      <c r="W2" s="3">
        <f>C18</f>
        <v>0</v>
      </c>
      <c r="X2" s="3">
        <f>C19</f>
        <v>0</v>
      </c>
      <c r="Y2" s="3">
        <f>C20</f>
        <v>0</v>
      </c>
      <c r="Z2" s="3">
        <f>C21</f>
        <v>0</v>
      </c>
      <c r="AA2" s="3">
        <f>C22</f>
        <v>0</v>
      </c>
      <c r="AB2" s="3">
        <f>C23</f>
        <v>0</v>
      </c>
      <c r="AC2" s="3">
        <f>C24</f>
        <v>0</v>
      </c>
      <c r="AD2" s="3">
        <f>C25</f>
        <v>0</v>
      </c>
      <c r="AE2" s="3">
        <f>C26</f>
        <v>0</v>
      </c>
      <c r="AF2" s="3">
        <f>C27</f>
        <v>0</v>
      </c>
      <c r="AG2" s="3">
        <f>C28</f>
        <v>0</v>
      </c>
      <c r="AH2" s="3">
        <f>C29</f>
        <v>0</v>
      </c>
      <c r="AI2" s="3">
        <f>C30</f>
        <v>0</v>
      </c>
      <c r="AJ2" s="3" t="s">
        <v>68</v>
      </c>
      <c r="AL2" t="str">
        <f>R2</f>
        <v>mm/s</v>
      </c>
      <c r="AM2" s="3" t="str">
        <f t="shared" ref="AM2:BB2" si="0">T2</f>
        <v>Kraken</v>
      </c>
      <c r="AN2" s="3" t="str">
        <f t="shared" si="0"/>
        <v>siboor-42sth48-2504(s45)</v>
      </c>
      <c r="AO2" s="3" t="str">
        <f t="shared" si="0"/>
        <v>Leadshine 42CM08</v>
      </c>
      <c r="AP2" s="3">
        <f t="shared" si="0"/>
        <v>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  <c r="BA2" s="3">
        <f t="shared" si="0"/>
        <v>0</v>
      </c>
      <c r="BB2" s="3">
        <f t="shared" si="0"/>
        <v>0</v>
      </c>
    </row>
    <row r="3" spans="1:55" x14ac:dyDescent="0.25">
      <c r="B3" s="1" t="s">
        <v>59</v>
      </c>
      <c r="C3">
        <v>10</v>
      </c>
      <c r="D3" t="s">
        <v>60</v>
      </c>
      <c r="Q3">
        <v>0</v>
      </c>
      <c r="R3">
        <f t="shared" ref="R3:R34" si="1">Q3*$C$6*2/$C$7</f>
        <v>0</v>
      </c>
      <c r="T3" s="7" cm="1">
        <f t="array" aca="1" ref="T3" ca="1">(_xlfn.SINGLE(SingleCoilTorque($F$15,$G$15,IF($I$15="",$H$15,INDEX(INDIRECT(_xlfn.CONCAT($I$15,"[Torque]")),MATCH(MIN(ABS(INDIRECT(_xlfn.CONCAT($I$15,"[RPM]"))-$R3*60/2/$C$6)),ABS(INDIRECT(_xlfn.CONCAT($I$15,"[RPM]"))-$R3*60/2/$C$6),0))*100),$J$15,$K$15,$L$15,$C$2,$N$15,$Q3))-$O$15)*$C$8</f>
        <v>48.423728395541822</v>
      </c>
      <c r="U3" s="7" cm="1">
        <f t="array" aca="1" ref="U3" ca="1">(_xlfn.SINGLE(SingleCoilTorque($F$16,$G$16,IF($I$16="",$H$16,INDEX(INDIRECT(_xlfn.CONCAT($I$16,"[Torque]")),MATCH(MIN(ABS(INDIRECT(_xlfn.CONCAT($I$16,"[RPM]"))-$R3*60/2/$C$6)),ABS(INDIRECT(_xlfn.CONCAT($I$16,"[RPM]"))-$R3*60/2/$C$6),0))*100),$J$16,$K$16,$L$16,$C$2,$N$16,$Q3))-$O$16)*$C$8</f>
        <v>62.239341870532691</v>
      </c>
      <c r="V3" s="7" cm="1">
        <f t="array" aca="1" ref="V3" ca="1">(_xlfn.SINGLE(SingleCoilTorque($F$17,$G$17,IF($I$17="",$H$17,INDEX(INDIRECT(_xlfn.CONCAT($I$17,"[Torque]")),MATCH(MIN(ABS(INDIRECT(_xlfn.CONCAT($I$17,"[RPM]"))-$R3*60/2/$C$6)),ABS(INDIRECT(_xlfn.CONCAT($I$17,"[RPM]"))-$R3*60/2/$C$6),0))*100),$J$17,$K$17,$L$17,$C$2,$N$17,$Q3))-$O$17)*$C$8</f>
        <v>76.70033037229544</v>
      </c>
      <c r="W3" s="7" t="e" cm="1">
        <f t="array" aca="1" ref="W3" ca="1">(_xlfn.SINGLE(SingleCoilTorque($F$18,$G$18,IF($I$18="",$H$18,INDEX(INDIRECT(_xlfn.CONCAT($I$18,"[Torque]")),MATCH(MIN(ABS(INDIRECT(_xlfn.CONCAT($I$18,"[RPM]"))-$R3*60/2/$C$6)),ABS(INDIRECT(_xlfn.CONCAT($I$18,"[RPM]"))-$R3*60/2/$C$6),0))*100),$J$18,$K$18,$L$18,$C$2,$N$18,$Q3))-$O$18)*$C$8</f>
        <v>#VALUE!</v>
      </c>
      <c r="X3" s="7" t="e" cm="1">
        <f t="array" aca="1" ref="X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Y3" s="7" t="e" cm="1">
        <f t="array" aca="1" ref="Y3" ca="1">(_xlfn.SINGLE(SingleCoilTorque($F$20,$G$20,IF($I$20="",$H$20,INDEX(INDIRECT(_xlfn.CONCAT($I$20,"[Torque]")),MATCH(MIN(ABS(INDIRECT(_xlfn.CONCAT($I$20,"[RPM]"))-$R3*60/2/$C$6)),ABS(INDIRECT(_xlfn.CONCAT($I$20,"[RPM]"))-$R3*60/2/$C$6),0))*100),$J$20,$K$20,$L$20,$C$2,$N$20,$Q3))-$O$20)*$C$8</f>
        <v>#VALUE!</v>
      </c>
      <c r="Z3" s="7" t="e" cm="1">
        <f t="array" aca="1" ref="Z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A3" s="7" t="e" cm="1">
        <f t="array" aca="1" ref="AA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B3" s="7" t="e" cm="1">
        <f t="array" aca="1" ref="AB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C3" s="7" t="e" cm="1">
        <f t="array" aca="1" ref="AC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D3" s="7" t="e" cm="1">
        <f t="array" aca="1" ref="AD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E3" s="7" t="e" cm="1">
        <f t="array" aca="1" ref="AE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F3" s="7" t="e" cm="1">
        <f t="array" aca="1" ref="AF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G3" s="7" t="e" cm="1">
        <f t="array" aca="1" ref="AG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H3" s="7" t="e" cm="1">
        <f t="array" aca="1" ref="AH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I3" s="7" t="e" cm="1">
        <f t="array" aca="1" ref="AI3" ca="1">(_xlfn.SINGLE(SingleCoilTorque($F$19,$G$19,IF($I$19="",$H$19,INDEX(INDIRECT(_xlfn.CONCAT($I$19,"[Torque]")),MATCH(MIN(ABS(INDIRECT(_xlfn.CONCAT($I$19,"[RPM]"))-$R3*60/2/$C$6)),ABS(INDIRECT(_xlfn.CONCAT($I$19,"[RPM]"))-$R3*60/2/$C$6),0))*100),$J$19,$K$19,$L$19,$C$2,$N$19,$Q3))-$O$19)*$C$8</f>
        <v>#VALUE!</v>
      </c>
      <c r="AJ3" s="7">
        <f>$C$12</f>
        <v>23.8732414637843</v>
      </c>
      <c r="AL3">
        <f>R3</f>
        <v>0</v>
      </c>
      <c r="AM3" s="7">
        <f>StepperPower($F$15,$G$15,$H$15,$J$15,$K$15,$L$15,$C$2,$N$15,$Q3)</f>
        <v>9</v>
      </c>
      <c r="AN3" s="7">
        <f>StepperPower($F$16,$G$16,$H$16,$J$16,$K$16,$L$16,$C$2,$N$16,$Q3)</f>
        <v>5.625</v>
      </c>
      <c r="AO3" s="7">
        <f>StepperPower($F$17,$G$17,$H$17,$J$17,$K$17,$L$17,$C$2,$N$17,$Q3)</f>
        <v>6.25</v>
      </c>
      <c r="AP3" s="7" t="e">
        <f>StepperPower($F$18,$G$18,$H$18,$J$18,$K$18,$L$18,$C$2,$N$18,$Q3)</f>
        <v>#VALUE!</v>
      </c>
      <c r="AQ3" s="7" t="e">
        <f>StepperPower($F$19,$G$19,$H$19,$J$19,$K$19,$L$19,$C$2,$N$19,$Q3)</f>
        <v>#VALUE!</v>
      </c>
      <c r="AR3" s="7" t="e">
        <f>StepperPower($F$20,$G$20,$H$20,$J$20,$K$20,$L$20,$C$2,$N$20,$Q3)</f>
        <v>#VALUE!</v>
      </c>
      <c r="AS3" s="7" t="e">
        <f>StepperPower($F$21,$G$21,$H$21,$J$21,$K$21,$L$21,$C$2,$N$21,$Q3)</f>
        <v>#VALUE!</v>
      </c>
      <c r="AT3" s="7" t="e">
        <f>StepperPower($F$22,$G$22,$H$22,$J$22,$K$22,$L$22,$C$2,$N$22,$Q3)</f>
        <v>#VALUE!</v>
      </c>
      <c r="AU3" s="7" t="e">
        <f>StepperPower($F$23,$G$23,$H$23,$J$23,$K$23,$L$23,$C$2,$N$23,$Q3)</f>
        <v>#VALUE!</v>
      </c>
      <c r="AV3" s="7" t="e">
        <f>StepperPower($F$24,$G$24,$H$24,$J$24,$K$24,$L$24,$C$2,$N$24,$Q3)</f>
        <v>#VALUE!</v>
      </c>
      <c r="AW3" s="7" t="e">
        <f>StepperPower($F$25,$G$25,$H$25,$J$25,$K$25,$L$25,$C$2,$N$25,$Q3)</f>
        <v>#VALUE!</v>
      </c>
      <c r="AX3" s="7" t="e">
        <f>StepperPower($F$26,$G$26,$H$26,$J$26,$K$26,$L$26,$C$2,$N$26,$Q3)</f>
        <v>#VALUE!</v>
      </c>
      <c r="AY3" s="7" t="e">
        <f>StepperPower($F$27,$G$27,$H$27,$J$27,$K$27,$L$27,$C$2,$N$27,$Q3)</f>
        <v>#VALUE!</v>
      </c>
      <c r="AZ3" s="7" t="e">
        <f>StepperPower($F$28,$G$28,$H$28,$J$28,$K$28,$L$28,$C$2,$N$28,$Q3)</f>
        <v>#VALUE!</v>
      </c>
      <c r="BA3" s="7" t="e">
        <f>StepperPower($F$29,$G$29,$H$29,$J$29,$K$29,$L$29,$C$2,$N$29,$Q3)</f>
        <v>#VALUE!</v>
      </c>
      <c r="BB3" s="7" t="e">
        <f>StepperPower($F$30,$G$30,$H$30,$J$30,$K$30,$L$30,$C$2,$N$30,$Q3)</f>
        <v>#VALUE!</v>
      </c>
      <c r="BC3" s="7"/>
    </row>
    <row r="4" spans="1:55" x14ac:dyDescent="0.25">
      <c r="B4" s="1" t="s">
        <v>62</v>
      </c>
      <c r="C4" s="8">
        <v>1</v>
      </c>
      <c r="Q4">
        <f>Q3+0.5</f>
        <v>0.5</v>
      </c>
      <c r="R4">
        <f t="shared" si="1"/>
        <v>20</v>
      </c>
      <c r="T4" s="7" cm="1">
        <f t="array" aca="1" ref="T4" ca="1">(_xlfn.SINGLE(SingleCoilTorque($F$15,$G$15,IF($I$15="",$H$15,INDEX(INDIRECT(_xlfn.CONCAT($I$15,"[Torque]")),MATCH(MIN(ABS(INDIRECT(_xlfn.CONCAT($I$15,"[RPM]"))-$R4*60/2/$C$6)),ABS(INDIRECT(_xlfn.CONCAT($I$15,"[RPM]"))-$R4*60/2/$C$6),0))*100),$J$15,$K$15,$L$15,$C$2,$N$15,$Q4))-$O$15)*$C$8</f>
        <v>48.423728395541822</v>
      </c>
      <c r="U4" s="7" cm="1">
        <f t="array" aca="1" ref="U4" ca="1">(_xlfn.SINGLE(SingleCoilTorque($F$16,$G$16,IF($I$16="",$H$16,INDEX(INDIRECT(_xlfn.CONCAT($I$16,"[Torque]")),MATCH(MIN(ABS(INDIRECT(_xlfn.CONCAT($I$16,"[RPM]"))-$R4*60/2/$C$6)),ABS(INDIRECT(_xlfn.CONCAT($I$16,"[RPM]"))-$R4*60/2/$C$6),0))*100),$J$16,$K$16,$L$16,$C$2,$N$16,$Q4))-$O$16)*$C$8</f>
        <v>62.239341870532691</v>
      </c>
      <c r="V4" s="7" cm="1">
        <f t="array" aca="1" ref="V4" ca="1">(_xlfn.SINGLE(SingleCoilTorque($F$17,$G$17,IF($I$17="",$H$17,INDEX(INDIRECT(_xlfn.CONCAT($I$17,"[Torque]")),MATCH(MIN(ABS(INDIRECT(_xlfn.CONCAT($I$17,"[RPM]"))-$R4*60/2/$C$6)),ABS(INDIRECT(_xlfn.CONCAT($I$17,"[RPM]"))-$R4*60/2/$C$6),0))*100),$J$17,$K$17,$L$17,$C$2,$N$17,$Q4))-$O$17)*$C$8</f>
        <v>76.70033037229544</v>
      </c>
      <c r="W4" s="7" t="e" cm="1">
        <f t="array" aca="1" ref="W4" ca="1">(_xlfn.SINGLE(SingleCoilTorque($F$18,$G$18,IF($I$18="",$H$18,INDEX(INDIRECT(_xlfn.CONCAT($I$18,"[Torque]")),MATCH(MIN(ABS(INDIRECT(_xlfn.CONCAT($I$18,"[RPM]"))-$R4*60/2/$C$6)),ABS(INDIRECT(_xlfn.CONCAT($I$18,"[RPM]"))-$R4*60/2/$C$6),0))*100),$J$18,$K$18,$L$18,$C$2,$N$18,$Q4))-$O$18)*$C$8</f>
        <v>#VALUE!</v>
      </c>
      <c r="X4" s="7" t="e" cm="1">
        <f t="array" aca="1" ref="X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Y4" s="7" t="e" cm="1">
        <f t="array" aca="1" ref="Y4" ca="1">(_xlfn.SINGLE(SingleCoilTorque($F$20,$G$20,IF($I$20="",$H$20,INDEX(INDIRECT(_xlfn.CONCAT($I$20,"[Torque]")),MATCH(MIN(ABS(INDIRECT(_xlfn.CONCAT($I$20,"[RPM]"))-$R4*60/2/$C$6)),ABS(INDIRECT(_xlfn.CONCAT($I$20,"[RPM]"))-$R4*60/2/$C$6),0))*100),$J$20,$K$20,$L$20,$C$2,$N$20,$Q4))-$O$20)*$C$8</f>
        <v>#VALUE!</v>
      </c>
      <c r="Z4" s="7" t="e" cm="1">
        <f t="array" aca="1" ref="Z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A4" s="7" t="e" cm="1">
        <f t="array" aca="1" ref="AA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B4" s="7" t="e" cm="1">
        <f t="array" aca="1" ref="AB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C4" s="7" t="e" cm="1">
        <f t="array" aca="1" ref="AC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D4" s="7" t="e" cm="1">
        <f t="array" aca="1" ref="AD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E4" s="7" t="e" cm="1">
        <f t="array" aca="1" ref="AE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F4" s="7" t="e" cm="1">
        <f t="array" aca="1" ref="AF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G4" s="7" t="e" cm="1">
        <f t="array" aca="1" ref="AG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H4" s="7" t="e" cm="1">
        <f t="array" aca="1" ref="AH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I4" s="7" t="e" cm="1">
        <f t="array" aca="1" ref="AI4" ca="1">(_xlfn.SINGLE(SingleCoilTorque($F$19,$G$19,IF($I$19="",$H$19,INDEX(INDIRECT(_xlfn.CONCAT($I$19,"[Torque]")),MATCH(MIN(ABS(INDIRECT(_xlfn.CONCAT($I$19,"[RPM]"))-$R4*60/2/$C$6)),ABS(INDIRECT(_xlfn.CONCAT($I$19,"[RPM]"))-$R4*60/2/$C$6),0))*100),$J$19,$K$19,$L$19,$C$2,$N$19,$Q4))-$O$19)*$C$8</f>
        <v>#VALUE!</v>
      </c>
      <c r="AJ4" s="7">
        <f>$C$12</f>
        <v>23.8732414637843</v>
      </c>
      <c r="AL4">
        <f t="shared" ref="AL4:AL67" si="2">R4</f>
        <v>20</v>
      </c>
      <c r="AM4" s="7">
        <f>StepperPower($F$15,$G$15,$H$15,$J$15,$K$15,$L$15,$C$2,$N$15,$Q4)</f>
        <v>10.777369165487977</v>
      </c>
      <c r="AN4" s="7">
        <f>StepperPower($F$16,$G$16,$H$16,$J$16,$K$16,$L$16,$C$2,$N$16,$Q4)</f>
        <v>6.9580268741159834</v>
      </c>
      <c r="AO4" s="7">
        <f>StepperPower($F$17,$G$17,$H$17,$J$17,$K$17,$L$17,$C$2,$N$17,$Q4)</f>
        <v>8.0273691654879773</v>
      </c>
      <c r="AP4" s="7" t="e">
        <f>StepperPower($F$18,$G$18,$H$18,$J$18,$K$18,$L$18,$C$2,$N$18,$Q4)</f>
        <v>#VALUE!</v>
      </c>
      <c r="AQ4" s="7" t="e">
        <f>StepperPower($F$19,$G$19,$H$19,$J$19,$K$19,$L$19,$C$2,$N$19,$Q4)</f>
        <v>#VALUE!</v>
      </c>
      <c r="AR4" s="7" t="e">
        <f>StepperPower($F$20,$G$20,$H$20,$J$20,$K$20,$L$20,$C$2,$N$20,$Q4)</f>
        <v>#VALUE!</v>
      </c>
      <c r="AS4" s="7" t="e">
        <f>StepperPower($F$21,$G$21,$H$21,$J$21,$K$21,$L$21,$C$2,$N$21,$Q4)</f>
        <v>#VALUE!</v>
      </c>
      <c r="AT4" s="7" t="e">
        <f>StepperPower($F$22,$G$22,$H$22,$J$22,$K$22,$L$22,$C$2,$N$22,$Q4)</f>
        <v>#VALUE!</v>
      </c>
      <c r="AU4" s="7" t="e">
        <f>StepperPower($F$23,$G$23,$H$23,$J$23,$K$23,$L$23,$C$2,$N$23,$Q4)</f>
        <v>#VALUE!</v>
      </c>
      <c r="AV4" s="7" t="e">
        <f>StepperPower($F$24,$G$24,$H$24,$J$24,$K$24,$L$24,$C$2,$N$24,$Q4)</f>
        <v>#VALUE!</v>
      </c>
      <c r="AW4" s="7" t="e">
        <f>StepperPower($F$25,$G$25,$H$25,$J$25,$K$25,$L$25,$C$2,$N$25,$Q4)</f>
        <v>#VALUE!</v>
      </c>
      <c r="AX4" s="7" t="e">
        <f>StepperPower($F$26,$G$26,$H$26,$J$26,$K$26,$L$26,$C$2,$N$26,$Q4)</f>
        <v>#VALUE!</v>
      </c>
      <c r="AY4" s="7" t="e">
        <f>StepperPower($F$27,$G$27,$H$27,$J$27,$K$27,$L$27,$C$2,$N$27,$Q4)</f>
        <v>#VALUE!</v>
      </c>
      <c r="AZ4" s="7" t="e">
        <f>StepperPower($F$28,$G$28,$H$28,$J$28,$K$28,$L$28,$C$2,$N$28,$Q4)</f>
        <v>#VALUE!</v>
      </c>
      <c r="BA4" s="7" t="e">
        <f>StepperPower($F$29,$G$29,$H$29,$J$29,$K$29,$L$29,$C$2,$N$29,$Q4)</f>
        <v>#VALUE!</v>
      </c>
      <c r="BB4" s="7" t="e">
        <f>StepperPower($F$30,$G$30,$H$30,$J$30,$K$30,$L$30,$C$2,$N$30,$Q4)</f>
        <v>#VALUE!</v>
      </c>
      <c r="BC4" s="7"/>
    </row>
    <row r="5" spans="1:55" x14ac:dyDescent="0.25">
      <c r="B5" s="1" t="s">
        <v>152</v>
      </c>
      <c r="C5">
        <f>600*0.8/4</f>
        <v>120</v>
      </c>
      <c r="D5" t="s">
        <v>153</v>
      </c>
      <c r="Q5">
        <f t="shared" ref="Q5:Q68" si="3">Q4+0.5</f>
        <v>1</v>
      </c>
      <c r="R5">
        <f t="shared" si="1"/>
        <v>40</v>
      </c>
      <c r="T5" s="7" cm="1">
        <f t="array" aca="1" ref="T5" ca="1">(_xlfn.SINGLE(SingleCoilTorque($F$15,$G$15,IF($I$15="",$H$15,INDEX(INDIRECT(_xlfn.CONCAT($I$15,"[Torque]")),MATCH(MIN(ABS(INDIRECT(_xlfn.CONCAT($I$15,"[RPM]"))-$R5*60/2/$C$6)),ABS(INDIRECT(_xlfn.CONCAT($I$15,"[RPM]"))-$R5*60/2/$C$6),0))*100),$J$15,$K$15,$L$15,$C$2,$N$15,$Q5))-$O$15)*$C$8</f>
        <v>48.423728395541822</v>
      </c>
      <c r="U5" s="7" cm="1">
        <f t="array" aca="1" ref="U5" ca="1">(_xlfn.SINGLE(SingleCoilTorque($F$16,$G$16,IF($I$16="",$H$16,INDEX(INDIRECT(_xlfn.CONCAT($I$16,"[Torque]")),MATCH(MIN(ABS(INDIRECT(_xlfn.CONCAT($I$16,"[RPM]"))-$R5*60/2/$C$6)),ABS(INDIRECT(_xlfn.CONCAT($I$16,"[RPM]"))-$R5*60/2/$C$6),0))*100),$J$16,$K$16,$L$16,$C$2,$N$16,$Q5))-$O$16)*$C$8</f>
        <v>62.239341870532691</v>
      </c>
      <c r="V5" s="7" cm="1">
        <f t="array" aca="1" ref="V5" ca="1">(_xlfn.SINGLE(SingleCoilTorque($F$17,$G$17,IF($I$17="",$H$17,INDEX(INDIRECT(_xlfn.CONCAT($I$17,"[Torque]")),MATCH(MIN(ABS(INDIRECT(_xlfn.CONCAT($I$17,"[RPM]"))-$R5*60/2/$C$6)),ABS(INDIRECT(_xlfn.CONCAT($I$17,"[RPM]"))-$R5*60/2/$C$6),0))*100),$J$17,$K$17,$L$17,$C$2,$N$17,$Q5))-$O$17)*$C$8</f>
        <v>76.70033037229544</v>
      </c>
      <c r="W5" s="7" t="e" cm="1">
        <f t="array" aca="1" ref="W5" ca="1">(_xlfn.SINGLE(SingleCoilTorque($F$18,$G$18,IF($I$18="",$H$18,INDEX(INDIRECT(_xlfn.CONCAT($I$18,"[Torque]")),MATCH(MIN(ABS(INDIRECT(_xlfn.CONCAT($I$18,"[RPM]"))-$R5*60/2/$C$6)),ABS(INDIRECT(_xlfn.CONCAT($I$18,"[RPM]"))-$R5*60/2/$C$6),0))*100),$J$18,$K$18,$L$18,$C$2,$N$18,$Q5))-$O$18)*$C$8</f>
        <v>#VALUE!</v>
      </c>
      <c r="X5" s="7" t="e" cm="1">
        <f t="array" aca="1" ref="X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Y5" s="7" t="e" cm="1">
        <f t="array" aca="1" ref="Y5" ca="1">(_xlfn.SINGLE(SingleCoilTorque($F$20,$G$20,IF($I$20="",$H$20,INDEX(INDIRECT(_xlfn.CONCAT($I$20,"[Torque]")),MATCH(MIN(ABS(INDIRECT(_xlfn.CONCAT($I$20,"[RPM]"))-$R5*60/2/$C$6)),ABS(INDIRECT(_xlfn.CONCAT($I$20,"[RPM]"))-$R5*60/2/$C$6),0))*100),$J$20,$K$20,$L$20,$C$2,$N$20,$Q5))-$O$20)*$C$8</f>
        <v>#VALUE!</v>
      </c>
      <c r="Z5" s="7" t="e" cm="1">
        <f t="array" aca="1" ref="Z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A5" s="7" t="e" cm="1">
        <f t="array" aca="1" ref="AA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B5" s="7" t="e" cm="1">
        <f t="array" aca="1" ref="AB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C5" s="7" t="e" cm="1">
        <f t="array" aca="1" ref="AC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D5" s="7" t="e" cm="1">
        <f t="array" aca="1" ref="AD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E5" s="7" t="e" cm="1">
        <f t="array" aca="1" ref="AE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F5" s="7" t="e" cm="1">
        <f t="array" aca="1" ref="AF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G5" s="7" t="e" cm="1">
        <f t="array" aca="1" ref="AG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H5" s="7" t="e" cm="1">
        <f t="array" aca="1" ref="AH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I5" s="7" t="e" cm="1">
        <f t="array" aca="1" ref="AI5" ca="1">(_xlfn.SINGLE(SingleCoilTorque($F$19,$G$19,IF($I$19="",$H$19,INDEX(INDIRECT(_xlfn.CONCAT($I$19,"[Torque]")),MATCH(MIN(ABS(INDIRECT(_xlfn.CONCAT($I$19,"[RPM]"))-$R5*60/2/$C$6)),ABS(INDIRECT(_xlfn.CONCAT($I$19,"[RPM]"))-$R5*60/2/$C$6),0))*100),$J$19,$K$19,$L$19,$C$2,$N$19,$Q5))-$O$19)*$C$8</f>
        <v>#VALUE!</v>
      </c>
      <c r="AJ5" s="7">
        <f>$C$12</f>
        <v>23.8732414637843</v>
      </c>
      <c r="AL5">
        <f t="shared" si="2"/>
        <v>40</v>
      </c>
      <c r="AM5" s="7">
        <f>StepperPower($F$15,$G$15,$H$15,$J$15,$K$15,$L$15,$C$2,$N$15,$Q5)</f>
        <v>12.554738330975955</v>
      </c>
      <c r="AN5" s="7">
        <f>StepperPower($F$16,$G$16,$H$16,$J$16,$K$16,$L$16,$C$2,$N$16,$Q5)</f>
        <v>8.2910537482319668</v>
      </c>
      <c r="AO5" s="7">
        <f>StepperPower($F$17,$G$17,$H$17,$J$17,$K$17,$L$17,$C$2,$N$17,$Q5)</f>
        <v>9.8047383309759546</v>
      </c>
      <c r="AP5" s="7" t="e">
        <f>StepperPower($F$18,$G$18,$H$18,$J$18,$K$18,$L$18,$C$2,$N$18,$Q5)</f>
        <v>#VALUE!</v>
      </c>
      <c r="AQ5" s="7" t="e">
        <f>StepperPower($F$19,$G$19,$H$19,$J$19,$K$19,$L$19,$C$2,$N$19,$Q5)</f>
        <v>#VALUE!</v>
      </c>
      <c r="AR5" s="7" t="e">
        <f>StepperPower($F$20,$G$20,$H$20,$J$20,$K$20,$L$20,$C$2,$N$20,$Q5)</f>
        <v>#VALUE!</v>
      </c>
      <c r="AS5" s="7" t="e">
        <f>StepperPower($F$21,$G$21,$H$21,$J$21,$K$21,$L$21,$C$2,$N$21,$Q5)</f>
        <v>#VALUE!</v>
      </c>
      <c r="AT5" s="7" t="e">
        <f>StepperPower($F$22,$G$22,$H$22,$J$22,$K$22,$L$22,$C$2,$N$22,$Q5)</f>
        <v>#VALUE!</v>
      </c>
      <c r="AU5" s="7" t="e">
        <f>StepperPower($F$23,$G$23,$H$23,$J$23,$K$23,$L$23,$C$2,$N$23,$Q5)</f>
        <v>#VALUE!</v>
      </c>
      <c r="AV5" s="7" t="e">
        <f>StepperPower($F$24,$G$24,$H$24,$J$24,$K$24,$L$24,$C$2,$N$24,$Q5)</f>
        <v>#VALUE!</v>
      </c>
      <c r="AW5" s="7" t="e">
        <f>StepperPower($F$25,$G$25,$H$25,$J$25,$K$25,$L$25,$C$2,$N$25,$Q5)</f>
        <v>#VALUE!</v>
      </c>
      <c r="AX5" s="7" t="e">
        <f>StepperPower($F$26,$G$26,$H$26,$J$26,$K$26,$L$26,$C$2,$N$26,$Q5)</f>
        <v>#VALUE!</v>
      </c>
      <c r="AY5" s="7" t="e">
        <f>StepperPower($F$27,$G$27,$H$27,$J$27,$K$27,$L$27,$C$2,$N$27,$Q5)</f>
        <v>#VALUE!</v>
      </c>
      <c r="AZ5" s="7" t="e">
        <f>StepperPower($F$28,$G$28,$H$28,$J$28,$K$28,$L$28,$C$2,$N$28,$Q5)</f>
        <v>#VALUE!</v>
      </c>
      <c r="BA5" s="7" t="e">
        <f>StepperPower($F$29,$G$29,$H$29,$J$29,$K$29,$L$29,$C$2,$N$29,$Q5)</f>
        <v>#VALUE!</v>
      </c>
      <c r="BB5" s="7" t="e">
        <f>StepperPower($F$30,$G$30,$H$30,$J$30,$K$30,$L$30,$C$2,$N$30,$Q5)</f>
        <v>#VALUE!</v>
      </c>
      <c r="BC5" s="7"/>
    </row>
    <row r="6" spans="1:55" x14ac:dyDescent="0.25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Q6">
        <f>Q5+0.5</f>
        <v>1.5</v>
      </c>
      <c r="R6">
        <f t="shared" si="1"/>
        <v>60</v>
      </c>
      <c r="T6" s="7" cm="1">
        <f t="array" aca="1" ref="T6" ca="1">(_xlfn.SINGLE(SingleCoilTorque($F$15,$G$15,IF($I$15="",$H$15,INDEX(INDIRECT(_xlfn.CONCAT($I$15,"[Torque]")),MATCH(MIN(ABS(INDIRECT(_xlfn.CONCAT($I$15,"[RPM]"))-$R6*60/2/$C$6)),ABS(INDIRECT(_xlfn.CONCAT($I$15,"[RPM]"))-$R6*60/2/$C$6),0))*100),$J$15,$K$15,$L$15,$C$2,$N$15,$Q6))-$O$15)*$C$8</f>
        <v>48.423728395541822</v>
      </c>
      <c r="U6" s="7" cm="1">
        <f t="array" aca="1" ref="U6" ca="1">(_xlfn.SINGLE(SingleCoilTorque($F$16,$G$16,IF($I$16="",$H$16,INDEX(INDIRECT(_xlfn.CONCAT($I$16,"[Torque]")),MATCH(MIN(ABS(INDIRECT(_xlfn.CONCAT($I$16,"[RPM]"))-$R6*60/2/$C$6)),ABS(INDIRECT(_xlfn.CONCAT($I$16,"[RPM]"))-$R6*60/2/$C$6),0))*100),$J$16,$K$16,$L$16,$C$2,$N$16,$Q6))-$O$16)*$C$8</f>
        <v>62.239341870532691</v>
      </c>
      <c r="V6" s="7" cm="1">
        <f t="array" aca="1" ref="V6" ca="1">(_xlfn.SINGLE(SingleCoilTorque($F$17,$G$17,IF($I$17="",$H$17,INDEX(INDIRECT(_xlfn.CONCAT($I$17,"[Torque]")),MATCH(MIN(ABS(INDIRECT(_xlfn.CONCAT($I$17,"[RPM]"))-$R6*60/2/$C$6)),ABS(INDIRECT(_xlfn.CONCAT($I$17,"[RPM]"))-$R6*60/2/$C$6),0))*100),$J$17,$K$17,$L$17,$C$2,$N$17,$Q6))-$O$17)*$C$8</f>
        <v>76.70033037229544</v>
      </c>
      <c r="W6" s="7" t="e" cm="1">
        <f t="array" aca="1" ref="W6" ca="1">(_xlfn.SINGLE(SingleCoilTorque($F$18,$G$18,IF($I$18="",$H$18,INDEX(INDIRECT(_xlfn.CONCAT($I$18,"[Torque]")),MATCH(MIN(ABS(INDIRECT(_xlfn.CONCAT($I$18,"[RPM]"))-$R6*60/2/$C$6)),ABS(INDIRECT(_xlfn.CONCAT($I$18,"[RPM]"))-$R6*60/2/$C$6),0))*100),$J$18,$K$18,$L$18,$C$2,$N$18,$Q6))-$O$18)*$C$8</f>
        <v>#VALUE!</v>
      </c>
      <c r="X6" s="7" t="e" cm="1">
        <f t="array" aca="1" ref="X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Y6" s="7" t="e" cm="1">
        <f t="array" aca="1" ref="Y6" ca="1">(_xlfn.SINGLE(SingleCoilTorque($F$20,$G$20,IF($I$20="",$H$20,INDEX(INDIRECT(_xlfn.CONCAT($I$20,"[Torque]")),MATCH(MIN(ABS(INDIRECT(_xlfn.CONCAT($I$20,"[RPM]"))-$R6*60/2/$C$6)),ABS(INDIRECT(_xlfn.CONCAT($I$20,"[RPM]"))-$R6*60/2/$C$6),0))*100),$J$20,$K$20,$L$20,$C$2,$N$20,$Q6))-$O$20)*$C$8</f>
        <v>#VALUE!</v>
      </c>
      <c r="Z6" s="7" t="e" cm="1">
        <f t="array" aca="1" ref="Z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A6" s="7" t="e" cm="1">
        <f t="array" aca="1" ref="AA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B6" s="7" t="e" cm="1">
        <f t="array" aca="1" ref="AB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C6" s="7" t="e" cm="1">
        <f t="array" aca="1" ref="AC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D6" s="7" t="e" cm="1">
        <f t="array" aca="1" ref="AD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E6" s="7" t="e" cm="1">
        <f t="array" aca="1" ref="AE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F6" s="7" t="e" cm="1">
        <f t="array" aca="1" ref="AF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G6" s="7" t="e" cm="1">
        <f t="array" aca="1" ref="AG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H6" s="7" t="e" cm="1">
        <f t="array" aca="1" ref="AH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I6" s="7" t="e" cm="1">
        <f t="array" aca="1" ref="AI6" ca="1">(_xlfn.SINGLE(SingleCoilTorque($F$19,$G$19,IF($I$19="",$H$19,INDEX(INDIRECT(_xlfn.CONCAT($I$19,"[Torque]")),MATCH(MIN(ABS(INDIRECT(_xlfn.CONCAT($I$19,"[RPM]"))-$R6*60/2/$C$6)),ABS(INDIRECT(_xlfn.CONCAT($I$19,"[RPM]"))-$R6*60/2/$C$6),0))*100),$J$19,$K$19,$L$19,$C$2,$N$19,$Q6))-$O$19)*$C$8</f>
        <v>#VALUE!</v>
      </c>
      <c r="AJ6" s="7">
        <f>$C$12</f>
        <v>23.8732414637843</v>
      </c>
      <c r="AL6">
        <f t="shared" si="2"/>
        <v>60</v>
      </c>
      <c r="AM6" s="7">
        <f>StepperPower($F$15,$G$15,$H$15,$J$15,$K$15,$L$15,$C$2,$N$15,$Q6)</f>
        <v>14.332107496463932</v>
      </c>
      <c r="AN6" s="7">
        <f>StepperPower($F$16,$G$16,$H$16,$J$16,$K$16,$L$16,$C$2,$N$16,$Q6)</f>
        <v>9.6240806223479503</v>
      </c>
      <c r="AO6" s="7">
        <f>StepperPower($F$17,$G$17,$H$17,$J$17,$K$17,$L$17,$C$2,$N$17,$Q6)</f>
        <v>11.582107496463934</v>
      </c>
      <c r="AP6" s="7" t="e">
        <f>StepperPower($F$18,$G$18,$H$18,$J$18,$K$18,$L$18,$C$2,$N$18,$Q6)</f>
        <v>#VALUE!</v>
      </c>
      <c r="AQ6" s="7" t="e">
        <f>StepperPower($F$19,$G$19,$H$19,$J$19,$K$19,$L$19,$C$2,$N$19,$Q6)</f>
        <v>#VALUE!</v>
      </c>
      <c r="AR6" s="7" t="e">
        <f>StepperPower($F$20,$G$20,$H$20,$J$20,$K$20,$L$20,$C$2,$N$20,$Q6)</f>
        <v>#VALUE!</v>
      </c>
      <c r="AS6" s="7" t="e">
        <f>StepperPower($F$21,$G$21,$H$21,$J$21,$K$21,$L$21,$C$2,$N$21,$Q6)</f>
        <v>#VALUE!</v>
      </c>
      <c r="AT6" s="7" t="e">
        <f>StepperPower($F$22,$G$22,$H$22,$J$22,$K$22,$L$22,$C$2,$N$22,$Q6)</f>
        <v>#VALUE!</v>
      </c>
      <c r="AU6" s="7" t="e">
        <f>StepperPower($F$23,$G$23,$H$23,$J$23,$K$23,$L$23,$C$2,$N$23,$Q6)</f>
        <v>#VALUE!</v>
      </c>
      <c r="AV6" s="7" t="e">
        <f>StepperPower($F$24,$G$24,$H$24,$J$24,$K$24,$L$24,$C$2,$N$24,$Q6)</f>
        <v>#VALUE!</v>
      </c>
      <c r="AW6" s="7" t="e">
        <f>StepperPower($F$25,$G$25,$H$25,$J$25,$K$25,$L$25,$C$2,$N$25,$Q6)</f>
        <v>#VALUE!</v>
      </c>
      <c r="AX6" s="7" t="e">
        <f>StepperPower($F$26,$G$26,$H$26,$J$26,$K$26,$L$26,$C$2,$N$26,$Q6)</f>
        <v>#VALUE!</v>
      </c>
      <c r="AY6" s="7" t="e">
        <f>StepperPower($F$27,$G$27,$H$27,$J$27,$K$27,$L$27,$C$2,$N$27,$Q6)</f>
        <v>#VALUE!</v>
      </c>
      <c r="AZ6" s="7" t="e">
        <f>StepperPower($F$28,$G$28,$H$28,$J$28,$K$28,$L$28,$C$2,$N$28,$Q6)</f>
        <v>#VALUE!</v>
      </c>
      <c r="BA6" s="7" t="e">
        <f>StepperPower($F$29,$G$29,$H$29,$J$29,$K$29,$L$29,$C$2,$N$29,$Q6)</f>
        <v>#VALUE!</v>
      </c>
      <c r="BB6" s="7" t="e">
        <f>StepperPower($F$30,$G$30,$H$30,$J$30,$K$30,$L$30,$C$2,$N$30,$Q6)</f>
        <v>#VALUE!</v>
      </c>
      <c r="BC6" s="7"/>
    </row>
    <row r="7" spans="1:55" x14ac:dyDescent="0.25">
      <c r="B7" s="1" t="s">
        <v>5</v>
      </c>
      <c r="C7">
        <v>1</v>
      </c>
      <c r="Q7">
        <f t="shared" si="3"/>
        <v>2</v>
      </c>
      <c r="R7">
        <f t="shared" si="1"/>
        <v>80</v>
      </c>
      <c r="T7" s="7" cm="1">
        <f t="array" aca="1" ref="T7" ca="1">(_xlfn.SINGLE(SingleCoilTorque($F$15,$G$15,IF($I$15="",$H$15,INDEX(INDIRECT(_xlfn.CONCAT($I$15,"[Torque]")),MATCH(MIN(ABS(INDIRECT(_xlfn.CONCAT($I$15,"[RPM]"))-$R7*60/2/$C$6)),ABS(INDIRECT(_xlfn.CONCAT($I$15,"[RPM]"))-$R7*60/2/$C$6),0))*100),$J$15,$K$15,$L$15,$C$2,$N$15,$Q7))-$O$15)*$C$8</f>
        <v>50.460503501623855</v>
      </c>
      <c r="U7" s="7" cm="1">
        <f t="array" aca="1" ref="U7" ca="1">(_xlfn.SINGLE(SingleCoilTorque($F$16,$G$16,IF($I$16="",$H$16,INDEX(INDIRECT(_xlfn.CONCAT($I$16,"[Torque]")),MATCH(MIN(ABS(INDIRECT(_xlfn.CONCAT($I$16,"[RPM]"))-$R7*60/2/$C$6)),ABS(INDIRECT(_xlfn.CONCAT($I$16,"[RPM]"))-$R7*60/2/$C$6),0))*100),$J$16,$K$16,$L$16,$C$2,$N$16,$Q7))-$O$16)*$C$8</f>
        <v>62.239341870532691</v>
      </c>
      <c r="V7" s="7" cm="1">
        <f t="array" aca="1" ref="V7" ca="1">(_xlfn.SINGLE(SingleCoilTorque($F$17,$G$17,IF($I$17="",$H$17,INDEX(INDIRECT(_xlfn.CONCAT($I$17,"[Torque]")),MATCH(MIN(ABS(INDIRECT(_xlfn.CONCAT($I$17,"[RPM]"))-$R7*60/2/$C$6)),ABS(INDIRECT(_xlfn.CONCAT($I$17,"[RPM]"))-$R7*60/2/$C$6),0))*100),$J$17,$K$17,$L$17,$C$2,$N$17,$Q7))-$O$17)*$C$8</f>
        <v>76.70033037229544</v>
      </c>
      <c r="W7" s="7" t="e" cm="1">
        <f t="array" aca="1" ref="W7" ca="1">(_xlfn.SINGLE(SingleCoilTorque($F$18,$G$18,IF($I$18="",$H$18,INDEX(INDIRECT(_xlfn.CONCAT($I$18,"[Torque]")),MATCH(MIN(ABS(INDIRECT(_xlfn.CONCAT($I$18,"[RPM]"))-$R7*60/2/$C$6)),ABS(INDIRECT(_xlfn.CONCAT($I$18,"[RPM]"))-$R7*60/2/$C$6),0))*100),$J$18,$K$18,$L$18,$C$2,$N$18,$Q7))-$O$18)*$C$8</f>
        <v>#VALUE!</v>
      </c>
      <c r="X7" s="7" t="e" cm="1">
        <f t="array" aca="1" ref="X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Y7" s="7" t="e" cm="1">
        <f t="array" aca="1" ref="Y7" ca="1">(_xlfn.SINGLE(SingleCoilTorque($F$20,$G$20,IF($I$20="",$H$20,INDEX(INDIRECT(_xlfn.CONCAT($I$20,"[Torque]")),MATCH(MIN(ABS(INDIRECT(_xlfn.CONCAT($I$20,"[RPM]"))-$R7*60/2/$C$6)),ABS(INDIRECT(_xlfn.CONCAT($I$20,"[RPM]"))-$R7*60/2/$C$6),0))*100),$J$20,$K$20,$L$20,$C$2,$N$20,$Q7))-$O$20)*$C$8</f>
        <v>#VALUE!</v>
      </c>
      <c r="Z7" s="7" t="e" cm="1">
        <f t="array" aca="1" ref="Z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A7" s="7" t="e" cm="1">
        <f t="array" aca="1" ref="AA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B7" s="7" t="e" cm="1">
        <f t="array" aca="1" ref="AB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C7" s="7" t="e" cm="1">
        <f t="array" aca="1" ref="AC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D7" s="7" t="e" cm="1">
        <f t="array" aca="1" ref="AD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E7" s="7" t="e" cm="1">
        <f t="array" aca="1" ref="AE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F7" s="7" t="e" cm="1">
        <f t="array" aca="1" ref="AF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G7" s="7" t="e" cm="1">
        <f t="array" aca="1" ref="AG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H7" s="7" t="e" cm="1">
        <f t="array" aca="1" ref="AH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I7" s="7" t="e" cm="1">
        <f t="array" aca="1" ref="AI7" ca="1">(_xlfn.SINGLE(SingleCoilTorque($F$19,$G$19,IF($I$19="",$H$19,INDEX(INDIRECT(_xlfn.CONCAT($I$19,"[Torque]")),MATCH(MIN(ABS(INDIRECT(_xlfn.CONCAT($I$19,"[RPM]"))-$R7*60/2/$C$6)),ABS(INDIRECT(_xlfn.CONCAT($I$19,"[RPM]"))-$R7*60/2/$C$6),0))*100),$J$19,$K$19,$L$19,$C$2,$N$19,$Q7))-$O$19)*$C$8</f>
        <v>#VALUE!</v>
      </c>
      <c r="AJ7" s="7">
        <f>$C$12</f>
        <v>23.8732414637843</v>
      </c>
      <c r="AL7">
        <f t="shared" si="2"/>
        <v>80</v>
      </c>
      <c r="AM7" s="7">
        <f>StepperPower($F$15,$G$15,$H$15,$J$15,$K$15,$L$15,$C$2,$N$15,$Q7)</f>
        <v>16.109476661951909</v>
      </c>
      <c r="AN7" s="7">
        <f>StepperPower($F$16,$G$16,$H$16,$J$16,$K$16,$L$16,$C$2,$N$16,$Q7)</f>
        <v>10.957107496463934</v>
      </c>
      <c r="AO7" s="7">
        <f>StepperPower($F$17,$G$17,$H$17,$J$17,$K$17,$L$17,$C$2,$N$17,$Q7)</f>
        <v>13.359476661951909</v>
      </c>
      <c r="AP7" s="7" t="e">
        <f>StepperPower($F$18,$G$18,$H$18,$J$18,$K$18,$L$18,$C$2,$N$18,$Q7)</f>
        <v>#VALUE!</v>
      </c>
      <c r="AQ7" s="7" t="e">
        <f>StepperPower($F$19,$G$19,$H$19,$J$19,$K$19,$L$19,$C$2,$N$19,$Q7)</f>
        <v>#VALUE!</v>
      </c>
      <c r="AR7" s="7" t="e">
        <f>StepperPower($F$20,$G$20,$H$20,$J$20,$K$20,$L$20,$C$2,$N$20,$Q7)</f>
        <v>#VALUE!</v>
      </c>
      <c r="AS7" s="7" t="e">
        <f>StepperPower($F$21,$G$21,$H$21,$J$21,$K$21,$L$21,$C$2,$N$21,$Q7)</f>
        <v>#VALUE!</v>
      </c>
      <c r="AT7" s="7" t="e">
        <f>StepperPower($F$22,$G$22,$H$22,$J$22,$K$22,$L$22,$C$2,$N$22,$Q7)</f>
        <v>#VALUE!</v>
      </c>
      <c r="AU7" s="7" t="e">
        <f>StepperPower($F$23,$G$23,$H$23,$J$23,$K$23,$L$23,$C$2,$N$23,$Q7)</f>
        <v>#VALUE!</v>
      </c>
      <c r="AV7" s="7" t="e">
        <f>StepperPower($F$24,$G$24,$H$24,$J$24,$K$24,$L$24,$C$2,$N$24,$Q7)</f>
        <v>#VALUE!</v>
      </c>
      <c r="AW7" s="7" t="e">
        <f>StepperPower($F$25,$G$25,$H$25,$J$25,$K$25,$L$25,$C$2,$N$25,$Q7)</f>
        <v>#VALUE!</v>
      </c>
      <c r="AX7" s="7" t="e">
        <f>StepperPower($F$26,$G$26,$H$26,$J$26,$K$26,$L$26,$C$2,$N$26,$Q7)</f>
        <v>#VALUE!</v>
      </c>
      <c r="AY7" s="7" t="e">
        <f>StepperPower($F$27,$G$27,$H$27,$J$27,$K$27,$L$27,$C$2,$N$27,$Q7)</f>
        <v>#VALUE!</v>
      </c>
      <c r="AZ7" s="7" t="e">
        <f>StepperPower($F$28,$G$28,$H$28,$J$28,$K$28,$L$28,$C$2,$N$28,$Q7)</f>
        <v>#VALUE!</v>
      </c>
      <c r="BA7" s="7" t="e">
        <f>StepperPower($F$29,$G$29,$H$29,$J$29,$K$29,$L$29,$C$2,$N$29,$Q7)</f>
        <v>#VALUE!</v>
      </c>
      <c r="BB7" s="7" t="e">
        <f>StepperPower($F$30,$G$30,$H$30,$J$30,$K$30,$L$30,$C$2,$N$30,$Q7)</f>
        <v>#VALUE!</v>
      </c>
      <c r="BC7" s="7"/>
    </row>
    <row r="8" spans="1:55" x14ac:dyDescent="0.25">
      <c r="B8" s="1" t="s">
        <v>222</v>
      </c>
      <c r="C8">
        <v>1.6</v>
      </c>
      <c r="Q8">
        <f t="shared" si="3"/>
        <v>2.5</v>
      </c>
      <c r="R8">
        <f t="shared" si="1"/>
        <v>100</v>
      </c>
      <c r="T8" s="7" cm="1">
        <f t="array" aca="1" ref="T8" ca="1">(_xlfn.SINGLE(SingleCoilTorque($F$15,$G$15,IF($I$15="",$H$15,INDEX(INDIRECT(_xlfn.CONCAT($I$15,"[Torque]")),MATCH(MIN(ABS(INDIRECT(_xlfn.CONCAT($I$15,"[RPM]"))-$R8*60/2/$C$6)),ABS(INDIRECT(_xlfn.CONCAT($I$15,"[RPM]"))-$R8*60/2/$C$6),0))*100),$J$15,$K$15,$L$15,$C$2,$N$15,$Q8))-$O$15)*$C$8</f>
        <v>50.460503501623855</v>
      </c>
      <c r="U8" s="7" cm="1">
        <f t="array" aca="1" ref="U8" ca="1">(_xlfn.SINGLE(SingleCoilTorque($F$16,$G$16,IF($I$16="",$H$16,INDEX(INDIRECT(_xlfn.CONCAT($I$16,"[Torque]")),MATCH(MIN(ABS(INDIRECT(_xlfn.CONCAT($I$16,"[RPM]"))-$R8*60/2/$C$6)),ABS(INDIRECT(_xlfn.CONCAT($I$16,"[RPM]"))-$R8*60/2/$C$6),0))*100),$J$16,$K$16,$L$16,$C$2,$N$16,$Q8))-$O$16)*$C$8</f>
        <v>62.239341870532691</v>
      </c>
      <c r="V8" s="7" cm="1">
        <f t="array" aca="1" ref="V8" ca="1">(_xlfn.SINGLE(SingleCoilTorque($F$17,$G$17,IF($I$17="",$H$17,INDEX(INDIRECT(_xlfn.CONCAT($I$17,"[Torque]")),MATCH(MIN(ABS(INDIRECT(_xlfn.CONCAT($I$17,"[RPM]"))-$R8*60/2/$C$6)),ABS(INDIRECT(_xlfn.CONCAT($I$17,"[RPM]"))-$R8*60/2/$C$6),0))*100),$J$17,$K$17,$L$17,$C$2,$N$17,$Q8))-$O$17)*$C$8</f>
        <v>76.70033037229544</v>
      </c>
      <c r="W8" s="7" t="e" cm="1">
        <f t="array" aca="1" ref="W8" ca="1">(_xlfn.SINGLE(SingleCoilTorque($F$18,$G$18,IF($I$18="",$H$18,INDEX(INDIRECT(_xlfn.CONCAT($I$18,"[Torque]")),MATCH(MIN(ABS(INDIRECT(_xlfn.CONCAT($I$18,"[RPM]"))-$R8*60/2/$C$6)),ABS(INDIRECT(_xlfn.CONCAT($I$18,"[RPM]"))-$R8*60/2/$C$6),0))*100),$J$18,$K$18,$L$18,$C$2,$N$18,$Q8))-$O$18)*$C$8</f>
        <v>#VALUE!</v>
      </c>
      <c r="X8" s="7" t="e" cm="1">
        <f t="array" aca="1" ref="X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Y8" s="7" t="e" cm="1">
        <f t="array" aca="1" ref="Y8" ca="1">(_xlfn.SINGLE(SingleCoilTorque($F$20,$G$20,IF($I$20="",$H$20,INDEX(INDIRECT(_xlfn.CONCAT($I$20,"[Torque]")),MATCH(MIN(ABS(INDIRECT(_xlfn.CONCAT($I$20,"[RPM]"))-$R8*60/2/$C$6)),ABS(INDIRECT(_xlfn.CONCAT($I$20,"[RPM]"))-$R8*60/2/$C$6),0))*100),$J$20,$K$20,$L$20,$C$2,$N$20,$Q8))-$O$20)*$C$8</f>
        <v>#VALUE!</v>
      </c>
      <c r="Z8" s="7" t="e" cm="1">
        <f t="array" aca="1" ref="Z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A8" s="7" t="e" cm="1">
        <f t="array" aca="1" ref="AA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B8" s="7" t="e" cm="1">
        <f t="array" aca="1" ref="AB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C8" s="7" t="e" cm="1">
        <f t="array" aca="1" ref="AC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D8" s="7" t="e" cm="1">
        <f t="array" aca="1" ref="AD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E8" s="7" t="e" cm="1">
        <f t="array" aca="1" ref="AE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F8" s="7" t="e" cm="1">
        <f t="array" aca="1" ref="AF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G8" s="7" t="e" cm="1">
        <f t="array" aca="1" ref="AG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H8" s="7" t="e" cm="1">
        <f t="array" aca="1" ref="AH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I8" s="7" t="e" cm="1">
        <f t="array" aca="1" ref="AI8" ca="1">(_xlfn.SINGLE(SingleCoilTorque($F$19,$G$19,IF($I$19="",$H$19,INDEX(INDIRECT(_xlfn.CONCAT($I$19,"[Torque]")),MATCH(MIN(ABS(INDIRECT(_xlfn.CONCAT($I$19,"[RPM]"))-$R8*60/2/$C$6)),ABS(INDIRECT(_xlfn.CONCAT($I$19,"[RPM]"))-$R8*60/2/$C$6),0))*100),$J$19,$K$19,$L$19,$C$2,$N$19,$Q8))-$O$19)*$C$8</f>
        <v>#VALUE!</v>
      </c>
      <c r="AJ8" s="7">
        <f>$C$12</f>
        <v>23.8732414637843</v>
      </c>
      <c r="AL8">
        <f t="shared" si="2"/>
        <v>100</v>
      </c>
      <c r="AM8" s="7">
        <f>StepperPower($F$15,$G$15,$H$15,$J$15,$K$15,$L$15,$C$2,$N$15,$Q8)</f>
        <v>17.886845827439888</v>
      </c>
      <c r="AN8" s="7">
        <f>StepperPower($F$16,$G$16,$H$16,$J$16,$K$16,$L$16,$C$2,$N$16,$Q8)</f>
        <v>12.290134370579917</v>
      </c>
      <c r="AO8" s="7">
        <f>StepperPower($F$17,$G$17,$H$17,$J$17,$K$17,$L$17,$C$2,$N$17,$Q8)</f>
        <v>15.136845827439886</v>
      </c>
      <c r="AP8" s="7" t="e">
        <f>StepperPower($F$18,$G$18,$H$18,$J$18,$K$18,$L$18,$C$2,$N$18,$Q8)</f>
        <v>#VALUE!</v>
      </c>
      <c r="AQ8" s="7" t="e">
        <f>StepperPower($F$19,$G$19,$H$19,$J$19,$K$19,$L$19,$C$2,$N$19,$Q8)</f>
        <v>#VALUE!</v>
      </c>
      <c r="AR8" s="7" t="e">
        <f>StepperPower($F$20,$G$20,$H$20,$J$20,$K$20,$L$20,$C$2,$N$20,$Q8)</f>
        <v>#VALUE!</v>
      </c>
      <c r="AS8" s="7" t="e">
        <f>StepperPower($F$21,$G$21,$H$21,$J$21,$K$21,$L$21,$C$2,$N$21,$Q8)</f>
        <v>#VALUE!</v>
      </c>
      <c r="AT8" s="7" t="e">
        <f>StepperPower($F$22,$G$22,$H$22,$J$22,$K$22,$L$22,$C$2,$N$22,$Q8)</f>
        <v>#VALUE!</v>
      </c>
      <c r="AU8" s="7" t="e">
        <f>StepperPower($F$23,$G$23,$H$23,$J$23,$K$23,$L$23,$C$2,$N$23,$Q8)</f>
        <v>#VALUE!</v>
      </c>
      <c r="AV8" s="7" t="e">
        <f>StepperPower($F$24,$G$24,$H$24,$J$24,$K$24,$L$24,$C$2,$N$24,$Q8)</f>
        <v>#VALUE!</v>
      </c>
      <c r="AW8" s="7" t="e">
        <f>StepperPower($F$25,$G$25,$H$25,$J$25,$K$25,$L$25,$C$2,$N$25,$Q8)</f>
        <v>#VALUE!</v>
      </c>
      <c r="AX8" s="7" t="e">
        <f>StepperPower($F$26,$G$26,$H$26,$J$26,$K$26,$L$26,$C$2,$N$26,$Q8)</f>
        <v>#VALUE!</v>
      </c>
      <c r="AY8" s="7" t="e">
        <f>StepperPower($F$27,$G$27,$H$27,$J$27,$K$27,$L$27,$C$2,$N$27,$Q8)</f>
        <v>#VALUE!</v>
      </c>
      <c r="AZ8" s="7" t="e">
        <f>StepperPower($F$28,$G$28,$H$28,$J$28,$K$28,$L$28,$C$2,$N$28,$Q8)</f>
        <v>#VALUE!</v>
      </c>
      <c r="BA8" s="7" t="e">
        <f>StepperPower($F$29,$G$29,$H$29,$J$29,$K$29,$L$29,$C$2,$N$29,$Q8)</f>
        <v>#VALUE!</v>
      </c>
      <c r="BB8" s="7" t="e">
        <f>StepperPower($F$30,$G$30,$H$30,$J$30,$K$30,$L$30,$C$2,$N$30,$Q8)</f>
        <v>#VALUE!</v>
      </c>
      <c r="BC8" s="7"/>
    </row>
    <row r="9" spans="1:55" x14ac:dyDescent="0.25">
      <c r="Q9">
        <f>Q8+0.5</f>
        <v>3</v>
      </c>
      <c r="R9">
        <f t="shared" si="1"/>
        <v>120</v>
      </c>
      <c r="T9" s="7" cm="1">
        <f t="array" aca="1" ref="T9" ca="1">(_xlfn.SINGLE(SingleCoilTorque($F$15,$G$15,IF($I$15="",$H$15,INDEX(INDIRECT(_xlfn.CONCAT($I$15,"[Torque]")),MATCH(MIN(ABS(INDIRECT(_xlfn.CONCAT($I$15,"[RPM]"))-$R9*60/2/$C$6)),ABS(INDIRECT(_xlfn.CONCAT($I$15,"[RPM]"))-$R9*60/2/$C$6),0))*100),$J$15,$K$15,$L$15,$C$2,$N$15,$Q9))-$O$15)*$C$8</f>
        <v>52.49727860770588</v>
      </c>
      <c r="U9" s="7" cm="1">
        <f t="array" aca="1" ref="U9" ca="1">(_xlfn.SINGLE(SingleCoilTorque($F$16,$G$16,IF($I$16="",$H$16,INDEX(INDIRECT(_xlfn.CONCAT($I$16,"[Torque]")),MATCH(MIN(ABS(INDIRECT(_xlfn.CONCAT($I$16,"[RPM]"))-$R9*60/2/$C$6)),ABS(INDIRECT(_xlfn.CONCAT($I$16,"[RPM]"))-$R9*60/2/$C$6),0))*100),$J$16,$K$16,$L$16,$C$2,$N$16,$Q9))-$O$16)*$C$8</f>
        <v>61.673571007732107</v>
      </c>
      <c r="V9" s="7" cm="1">
        <f t="array" aca="1" ref="V9" ca="1">(_xlfn.SINGLE(SingleCoilTorque($F$17,$G$17,IF($I$17="",$H$17,INDEX(INDIRECT(_xlfn.CONCAT($I$17,"[Torque]")),MATCH(MIN(ABS(INDIRECT(_xlfn.CONCAT($I$17,"[RPM]"))-$R9*60/2/$C$6)),ABS(INDIRECT(_xlfn.CONCAT($I$17,"[RPM]"))-$R9*60/2/$C$6),0))*100),$J$17,$K$17,$L$17,$C$2,$N$17,$Q9))-$O$17)*$C$8</f>
        <v>73.305705195492038</v>
      </c>
      <c r="W9" s="7" t="e" cm="1">
        <f t="array" aca="1" ref="W9" ca="1">(_xlfn.SINGLE(SingleCoilTorque($F$18,$G$18,IF($I$18="",$H$18,INDEX(INDIRECT(_xlfn.CONCAT($I$18,"[Torque]")),MATCH(MIN(ABS(INDIRECT(_xlfn.CONCAT($I$18,"[RPM]"))-$R9*60/2/$C$6)),ABS(INDIRECT(_xlfn.CONCAT($I$18,"[RPM]"))-$R9*60/2/$C$6),0))*100),$J$18,$K$18,$L$18,$C$2,$N$18,$Q9))-$O$18)*$C$8</f>
        <v>#VALUE!</v>
      </c>
      <c r="X9" s="7" t="e" cm="1">
        <f t="array" aca="1" ref="X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Y9" s="7" t="e" cm="1">
        <f t="array" aca="1" ref="Y9" ca="1">(_xlfn.SINGLE(SingleCoilTorque($F$20,$G$20,IF($I$20="",$H$20,INDEX(INDIRECT(_xlfn.CONCAT($I$20,"[Torque]")),MATCH(MIN(ABS(INDIRECT(_xlfn.CONCAT($I$20,"[RPM]"))-$R9*60/2/$C$6)),ABS(INDIRECT(_xlfn.CONCAT($I$20,"[RPM]"))-$R9*60/2/$C$6),0))*100),$J$20,$K$20,$L$20,$C$2,$N$20,$Q9))-$O$20)*$C$8</f>
        <v>#VALUE!</v>
      </c>
      <c r="Z9" s="7" t="e" cm="1">
        <f t="array" aca="1" ref="Z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A9" s="7" t="e" cm="1">
        <f t="array" aca="1" ref="AA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B9" s="7" t="e" cm="1">
        <f t="array" aca="1" ref="AB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C9" s="7" t="e" cm="1">
        <f t="array" aca="1" ref="AC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D9" s="7" t="e" cm="1">
        <f t="array" aca="1" ref="AD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E9" s="7" t="e" cm="1">
        <f t="array" aca="1" ref="AE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F9" s="7" t="e" cm="1">
        <f t="array" aca="1" ref="AF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G9" s="7" t="e" cm="1">
        <f t="array" aca="1" ref="AG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H9" s="7" t="e" cm="1">
        <f t="array" aca="1" ref="AH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I9" s="7" t="e" cm="1">
        <f t="array" aca="1" ref="AI9" ca="1">(_xlfn.SINGLE(SingleCoilTorque($F$19,$G$19,IF($I$19="",$H$19,INDEX(INDIRECT(_xlfn.CONCAT($I$19,"[Torque]")),MATCH(MIN(ABS(INDIRECT(_xlfn.CONCAT($I$19,"[RPM]"))-$R9*60/2/$C$6)),ABS(INDIRECT(_xlfn.CONCAT($I$19,"[RPM]"))-$R9*60/2/$C$6),0))*100),$J$19,$K$19,$L$19,$C$2,$N$19,$Q9))-$O$19)*$C$8</f>
        <v>#VALUE!</v>
      </c>
      <c r="AJ9" s="7">
        <f>$C$12</f>
        <v>23.8732414637843</v>
      </c>
      <c r="AL9">
        <f t="shared" si="2"/>
        <v>120</v>
      </c>
      <c r="AM9" s="7">
        <f>StepperPower($F$15,$G$15,$H$15,$J$15,$K$15,$L$15,$C$2,$N$15,$Q9)</f>
        <v>19.664214992927864</v>
      </c>
      <c r="AN9" s="7">
        <f>StepperPower($F$16,$G$16,$H$16,$J$16,$K$16,$L$16,$C$2,$N$16,$Q9)</f>
        <v>13.623161244695901</v>
      </c>
      <c r="AO9" s="7">
        <f>StepperPower($F$17,$G$17,$H$17,$J$17,$K$17,$L$17,$C$2,$N$17,$Q9)</f>
        <v>16.914214992927864</v>
      </c>
      <c r="AP9" s="7" t="e">
        <f>StepperPower($F$18,$G$18,$H$18,$J$18,$K$18,$L$18,$C$2,$N$18,$Q9)</f>
        <v>#VALUE!</v>
      </c>
      <c r="AQ9" s="7" t="e">
        <f>StepperPower($F$19,$G$19,$H$19,$J$19,$K$19,$L$19,$C$2,$N$19,$Q9)</f>
        <v>#VALUE!</v>
      </c>
      <c r="AR9" s="7" t="e">
        <f>StepperPower($F$20,$G$20,$H$20,$J$20,$K$20,$L$20,$C$2,$N$20,$Q9)</f>
        <v>#VALUE!</v>
      </c>
      <c r="AS9" s="7" t="e">
        <f>StepperPower($F$21,$G$21,$H$21,$J$21,$K$21,$L$21,$C$2,$N$21,$Q9)</f>
        <v>#VALUE!</v>
      </c>
      <c r="AT9" s="7" t="e">
        <f>StepperPower($F$22,$G$22,$H$22,$J$22,$K$22,$L$22,$C$2,$N$22,$Q9)</f>
        <v>#VALUE!</v>
      </c>
      <c r="AU9" s="7" t="e">
        <f>StepperPower($F$23,$G$23,$H$23,$J$23,$K$23,$L$23,$C$2,$N$23,$Q9)</f>
        <v>#VALUE!</v>
      </c>
      <c r="AV9" s="7" t="e">
        <f>StepperPower($F$24,$G$24,$H$24,$J$24,$K$24,$L$24,$C$2,$N$24,$Q9)</f>
        <v>#VALUE!</v>
      </c>
      <c r="AW9" s="7" t="e">
        <f>StepperPower($F$25,$G$25,$H$25,$J$25,$K$25,$L$25,$C$2,$N$25,$Q9)</f>
        <v>#VALUE!</v>
      </c>
      <c r="AX9" s="7" t="e">
        <f>StepperPower($F$26,$G$26,$H$26,$J$26,$K$26,$L$26,$C$2,$N$26,$Q9)</f>
        <v>#VALUE!</v>
      </c>
      <c r="AY9" s="7" t="e">
        <f>StepperPower($F$27,$G$27,$H$27,$J$27,$K$27,$L$27,$C$2,$N$27,$Q9)</f>
        <v>#VALUE!</v>
      </c>
      <c r="AZ9" s="7" t="e">
        <f>StepperPower($F$28,$G$28,$H$28,$J$28,$K$28,$L$28,$C$2,$N$28,$Q9)</f>
        <v>#VALUE!</v>
      </c>
      <c r="BA9" s="7" t="e">
        <f>StepperPower($F$29,$G$29,$H$29,$J$29,$K$29,$L$29,$C$2,$N$29,$Q9)</f>
        <v>#VALUE!</v>
      </c>
      <c r="BB9" s="7" t="e">
        <f>StepperPower($F$30,$G$30,$H$30,$J$30,$K$30,$L$30,$C$2,$N$30,$Q9)</f>
        <v>#VALUE!</v>
      </c>
      <c r="BC9" s="7"/>
    </row>
    <row r="10" spans="1:55" x14ac:dyDescent="0.25">
      <c r="B10" s="1" t="s">
        <v>64</v>
      </c>
      <c r="C10">
        <v>50000</v>
      </c>
      <c r="D10" t="s">
        <v>9</v>
      </c>
      <c r="Q10">
        <f t="shared" si="3"/>
        <v>3.5</v>
      </c>
      <c r="R10">
        <f t="shared" si="1"/>
        <v>140</v>
      </c>
      <c r="T10" s="7" cm="1">
        <f t="array" aca="1" ref="T10" ca="1">(_xlfn.SINGLE(SingleCoilTorque($F$15,$G$15,IF($I$15="",$H$15,INDEX(INDIRECT(_xlfn.CONCAT($I$15,"[Torque]")),MATCH(MIN(ABS(INDIRECT(_xlfn.CONCAT($I$15,"[RPM]"))-$R10*60/2/$C$6)),ABS(INDIRECT(_xlfn.CONCAT($I$15,"[RPM]"))-$R10*60/2/$C$6),0))*100),$J$15,$K$15,$L$15,$C$2,$N$15,$Q10))-$O$15)*$C$8</f>
        <v>52.49727860770588</v>
      </c>
      <c r="U10" s="7" cm="1">
        <f t="array" aca="1" ref="U10" ca="1">(_xlfn.SINGLE(SingleCoilTorque($F$16,$G$16,IF($I$16="",$H$16,INDEX(INDIRECT(_xlfn.CONCAT($I$16,"[Torque]")),MATCH(MIN(ABS(INDIRECT(_xlfn.CONCAT($I$16,"[RPM]"))-$R10*60/2/$C$6)),ABS(INDIRECT(_xlfn.CONCAT($I$16,"[RPM]"))-$R10*60/2/$C$6),0))*100),$J$16,$K$16,$L$16,$C$2,$N$16,$Q10))-$O$16)*$C$8</f>
        <v>61.673571007732107</v>
      </c>
      <c r="V10" s="7" cm="1">
        <f t="array" aca="1" ref="V10" ca="1">(_xlfn.SINGLE(SingleCoilTorque($F$17,$G$17,IF($I$17="",$H$17,INDEX(INDIRECT(_xlfn.CONCAT($I$17,"[Torque]")),MATCH(MIN(ABS(INDIRECT(_xlfn.CONCAT($I$17,"[RPM]"))-$R10*60/2/$C$6)),ABS(INDIRECT(_xlfn.CONCAT($I$17,"[RPM]"))-$R10*60/2/$C$6),0))*100),$J$17,$K$17,$L$17,$C$2,$N$17,$Q10))-$O$17)*$C$8</f>
        <v>73.305705195492038</v>
      </c>
      <c r="W10" s="7" t="e" cm="1">
        <f t="array" aca="1" ref="W10" ca="1">(_xlfn.SINGLE(SingleCoilTorque($F$18,$G$18,IF($I$18="",$H$18,INDEX(INDIRECT(_xlfn.CONCAT($I$18,"[Torque]")),MATCH(MIN(ABS(INDIRECT(_xlfn.CONCAT($I$18,"[RPM]"))-$R10*60/2/$C$6)),ABS(INDIRECT(_xlfn.CONCAT($I$18,"[RPM]"))-$R10*60/2/$C$6),0))*100),$J$18,$K$18,$L$18,$C$2,$N$18,$Q10))-$O$18)*$C$8</f>
        <v>#VALUE!</v>
      </c>
      <c r="X10" s="7" t="e" cm="1">
        <f t="array" aca="1" ref="X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Y10" s="7" t="e" cm="1">
        <f t="array" aca="1" ref="Y10" ca="1">(_xlfn.SINGLE(SingleCoilTorque($F$20,$G$20,IF($I$20="",$H$20,INDEX(INDIRECT(_xlfn.CONCAT($I$20,"[Torque]")),MATCH(MIN(ABS(INDIRECT(_xlfn.CONCAT($I$20,"[RPM]"))-$R10*60/2/$C$6)),ABS(INDIRECT(_xlfn.CONCAT($I$20,"[RPM]"))-$R10*60/2/$C$6),0))*100),$J$20,$K$20,$L$20,$C$2,$N$20,$Q10))-$O$20)*$C$8</f>
        <v>#VALUE!</v>
      </c>
      <c r="Z10" s="7" t="e" cm="1">
        <f t="array" aca="1" ref="Z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A10" s="7" t="e" cm="1">
        <f t="array" aca="1" ref="AA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B10" s="7" t="e" cm="1">
        <f t="array" aca="1" ref="AB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C10" s="7" t="e" cm="1">
        <f t="array" aca="1" ref="AC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D10" s="7" t="e" cm="1">
        <f t="array" aca="1" ref="AD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E10" s="7" t="e" cm="1">
        <f t="array" aca="1" ref="AE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F10" s="7" t="e" cm="1">
        <f t="array" aca="1" ref="AF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G10" s="7" t="e" cm="1">
        <f t="array" aca="1" ref="AG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H10" s="7" t="e" cm="1">
        <f t="array" aca="1" ref="AH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I10" s="7" t="e" cm="1">
        <f t="array" aca="1" ref="AI10" ca="1">(_xlfn.SINGLE(SingleCoilTorque($F$19,$G$19,IF($I$19="",$H$19,INDEX(INDIRECT(_xlfn.CONCAT($I$19,"[Torque]")),MATCH(MIN(ABS(INDIRECT(_xlfn.CONCAT($I$19,"[RPM]"))-$R10*60/2/$C$6)),ABS(INDIRECT(_xlfn.CONCAT($I$19,"[RPM]"))-$R10*60/2/$C$6),0))*100),$J$19,$K$19,$L$19,$C$2,$N$19,$Q10))-$O$19)*$C$8</f>
        <v>#VALUE!</v>
      </c>
      <c r="AJ10" s="7">
        <f>$C$12</f>
        <v>23.8732414637843</v>
      </c>
      <c r="AL10">
        <f t="shared" si="2"/>
        <v>140</v>
      </c>
      <c r="AM10" s="7">
        <f>StepperPower($F$15,$G$15,$H$15,$J$15,$K$15,$L$15,$C$2,$N$15,$Q10)</f>
        <v>21.441584158415843</v>
      </c>
      <c r="AN10" s="7">
        <f>StepperPower($F$16,$G$16,$H$16,$J$16,$K$16,$L$16,$C$2,$N$16,$Q10)</f>
        <v>14.956188118811882</v>
      </c>
      <c r="AO10" s="7">
        <f>StepperPower($F$17,$G$17,$H$17,$J$17,$K$17,$L$17,$C$2,$N$17,$Q10)</f>
        <v>18.691584158415843</v>
      </c>
      <c r="AP10" s="7" t="e">
        <f>StepperPower($F$18,$G$18,$H$18,$J$18,$K$18,$L$18,$C$2,$N$18,$Q10)</f>
        <v>#VALUE!</v>
      </c>
      <c r="AQ10" s="7" t="e">
        <f>StepperPower($F$19,$G$19,$H$19,$J$19,$K$19,$L$19,$C$2,$N$19,$Q10)</f>
        <v>#VALUE!</v>
      </c>
      <c r="AR10" s="7" t="e">
        <f>StepperPower($F$20,$G$20,$H$20,$J$20,$K$20,$L$20,$C$2,$N$20,$Q10)</f>
        <v>#VALUE!</v>
      </c>
      <c r="AS10" s="7" t="e">
        <f>StepperPower($F$21,$G$21,$H$21,$J$21,$K$21,$L$21,$C$2,$N$21,$Q10)</f>
        <v>#VALUE!</v>
      </c>
      <c r="AT10" s="7" t="e">
        <f>StepperPower($F$22,$G$22,$H$22,$J$22,$K$22,$L$22,$C$2,$N$22,$Q10)</f>
        <v>#VALUE!</v>
      </c>
      <c r="AU10" s="7" t="e">
        <f>StepperPower($F$23,$G$23,$H$23,$J$23,$K$23,$L$23,$C$2,$N$23,$Q10)</f>
        <v>#VALUE!</v>
      </c>
      <c r="AV10" s="7" t="e">
        <f>StepperPower($F$24,$G$24,$H$24,$J$24,$K$24,$L$24,$C$2,$N$24,$Q10)</f>
        <v>#VALUE!</v>
      </c>
      <c r="AW10" s="7" t="e">
        <f>StepperPower($F$25,$G$25,$H$25,$J$25,$K$25,$L$25,$C$2,$N$25,$Q10)</f>
        <v>#VALUE!</v>
      </c>
      <c r="AX10" s="7" t="e">
        <f>StepperPower($F$26,$G$26,$H$26,$J$26,$K$26,$L$26,$C$2,$N$26,$Q10)</f>
        <v>#VALUE!</v>
      </c>
      <c r="AY10" s="7" t="e">
        <f>StepperPower($F$27,$G$27,$H$27,$J$27,$K$27,$L$27,$C$2,$N$27,$Q10)</f>
        <v>#VALUE!</v>
      </c>
      <c r="AZ10" s="7" t="e">
        <f>StepperPower($F$28,$G$28,$H$28,$J$28,$K$28,$L$28,$C$2,$N$28,$Q10)</f>
        <v>#VALUE!</v>
      </c>
      <c r="BA10" s="7" t="e">
        <f>StepperPower($F$29,$G$29,$H$29,$J$29,$K$29,$L$29,$C$2,$N$29,$Q10)</f>
        <v>#VALUE!</v>
      </c>
      <c r="BB10" s="7" t="e">
        <f>StepperPower($F$30,$G$30,$H$30,$J$30,$K$30,$L$30,$C$2,$N$30,$Q10)</f>
        <v>#VALUE!</v>
      </c>
      <c r="BC10" s="7"/>
    </row>
    <row r="11" spans="1:55" x14ac:dyDescent="0.25">
      <c r="B11" s="1" t="s">
        <v>69</v>
      </c>
      <c r="C11">
        <v>750</v>
      </c>
      <c r="D11" t="s">
        <v>67</v>
      </c>
      <c r="Q11">
        <f t="shared" si="3"/>
        <v>4</v>
      </c>
      <c r="R11">
        <f t="shared" si="1"/>
        <v>160</v>
      </c>
      <c r="T11" s="7" cm="1">
        <f t="array" aca="1" ref="T11" ca="1">(_xlfn.SINGLE(SingleCoilTorque($F$15,$G$15,IF($I$15="",$H$15,INDEX(INDIRECT(_xlfn.CONCAT($I$15,"[Torque]")),MATCH(MIN(ABS(INDIRECT(_xlfn.CONCAT($I$15,"[RPM]"))-$R11*60/2/$C$6)),ABS(INDIRECT(_xlfn.CONCAT($I$15,"[RPM]"))-$R11*60/2/$C$6),0))*100),$J$15,$K$15,$L$15,$C$2,$N$15,$Q11))-$O$15)*$C$8</f>
        <v>55.326132921708727</v>
      </c>
      <c r="U11" s="7" cm="1">
        <f t="array" aca="1" ref="U11" ca="1">(_xlfn.SINGLE(SingleCoilTorque($F$16,$G$16,IF($I$16="",$H$16,INDEX(INDIRECT(_xlfn.CONCAT($I$16,"[Torque]")),MATCH(MIN(ABS(INDIRECT(_xlfn.CONCAT($I$16,"[RPM]"))-$R11*60/2/$C$6)),ABS(INDIRECT(_xlfn.CONCAT($I$16,"[RPM]"))-$R11*60/2/$C$6),0))*100),$J$16,$K$16,$L$16,$C$2,$N$16,$Q11))-$O$16)*$C$8</f>
        <v>61.673571007732107</v>
      </c>
      <c r="V11" s="7" cm="1">
        <f t="array" aca="1" ref="V11" ca="1">(_xlfn.SINGLE(SingleCoilTorque($F$17,$G$17,IF($I$17="",$H$17,INDEX(INDIRECT(_xlfn.CONCAT($I$17,"[Torque]")),MATCH(MIN(ABS(INDIRECT(_xlfn.CONCAT($I$17,"[RPM]"))-$R11*60/2/$C$6)),ABS(INDIRECT(_xlfn.CONCAT($I$17,"[RPM]"))-$R11*60/2/$C$6),0))*100),$J$17,$K$17,$L$17,$C$2,$N$17,$Q11))-$O$17)*$C$8</f>
        <v>73.305705195492038</v>
      </c>
      <c r="W11" s="7" t="e" cm="1">
        <f t="array" aca="1" ref="W11" ca="1">(_xlfn.SINGLE(SingleCoilTorque($F$18,$G$18,IF($I$18="",$H$18,INDEX(INDIRECT(_xlfn.CONCAT($I$18,"[Torque]")),MATCH(MIN(ABS(INDIRECT(_xlfn.CONCAT($I$18,"[RPM]"))-$R11*60/2/$C$6)),ABS(INDIRECT(_xlfn.CONCAT($I$18,"[RPM]"))-$R11*60/2/$C$6),0))*100),$J$18,$K$18,$L$18,$C$2,$N$18,$Q11))-$O$18)*$C$8</f>
        <v>#VALUE!</v>
      </c>
      <c r="X11" s="7" t="e" cm="1">
        <f t="array" aca="1" ref="X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Y11" s="7" t="e" cm="1">
        <f t="array" aca="1" ref="Y11" ca="1">(_xlfn.SINGLE(SingleCoilTorque($F$20,$G$20,IF($I$20="",$H$20,INDEX(INDIRECT(_xlfn.CONCAT($I$20,"[Torque]")),MATCH(MIN(ABS(INDIRECT(_xlfn.CONCAT($I$20,"[RPM]"))-$R11*60/2/$C$6)),ABS(INDIRECT(_xlfn.CONCAT($I$20,"[RPM]"))-$R11*60/2/$C$6),0))*100),$J$20,$K$20,$L$20,$C$2,$N$20,$Q11))-$O$20)*$C$8</f>
        <v>#VALUE!</v>
      </c>
      <c r="Z11" s="7" t="e" cm="1">
        <f t="array" aca="1" ref="Z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A11" s="7" t="e" cm="1">
        <f t="array" aca="1" ref="AA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B11" s="7" t="e" cm="1">
        <f t="array" aca="1" ref="AB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C11" s="7" t="e" cm="1">
        <f t="array" aca="1" ref="AC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D11" s="7" t="e" cm="1">
        <f t="array" aca="1" ref="AD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E11" s="7" t="e" cm="1">
        <f t="array" aca="1" ref="AE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F11" s="7" t="e" cm="1">
        <f t="array" aca="1" ref="AF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G11" s="7" t="e" cm="1">
        <f t="array" aca="1" ref="AG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H11" s="7" t="e" cm="1">
        <f t="array" aca="1" ref="AH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I11" s="7" t="e" cm="1">
        <f t="array" aca="1" ref="AI11" ca="1">(_xlfn.SINGLE(SingleCoilTorque($F$19,$G$19,IF($I$19="",$H$19,INDEX(INDIRECT(_xlfn.CONCAT($I$19,"[Torque]")),MATCH(MIN(ABS(INDIRECT(_xlfn.CONCAT($I$19,"[RPM]"))-$R11*60/2/$C$6)),ABS(INDIRECT(_xlfn.CONCAT($I$19,"[RPM]"))-$R11*60/2/$C$6),0))*100),$J$19,$K$19,$L$19,$C$2,$N$19,$Q11))-$O$19)*$C$8</f>
        <v>#VALUE!</v>
      </c>
      <c r="AJ11" s="7">
        <f>$C$12</f>
        <v>23.8732414637843</v>
      </c>
      <c r="AL11">
        <f t="shared" si="2"/>
        <v>160</v>
      </c>
      <c r="AM11" s="7">
        <f>StepperPower($F$15,$G$15,$H$15,$J$15,$K$15,$L$15,$C$2,$N$15,$Q11)</f>
        <v>23.218953323903818</v>
      </c>
      <c r="AN11" s="7">
        <f>StepperPower($F$16,$G$16,$H$16,$J$16,$K$16,$L$16,$C$2,$N$16,$Q11)</f>
        <v>16.289214992927864</v>
      </c>
      <c r="AO11" s="7">
        <f>StepperPower($F$17,$G$17,$H$17,$J$17,$K$17,$L$17,$C$2,$N$17,$Q11)</f>
        <v>20.468953323903818</v>
      </c>
      <c r="AP11" s="7" t="e">
        <f>StepperPower($F$18,$G$18,$H$18,$J$18,$K$18,$L$18,$C$2,$N$18,$Q11)</f>
        <v>#VALUE!</v>
      </c>
      <c r="AQ11" s="7" t="e">
        <f>StepperPower($F$19,$G$19,$H$19,$J$19,$K$19,$L$19,$C$2,$N$19,$Q11)</f>
        <v>#VALUE!</v>
      </c>
      <c r="AR11" s="7" t="e">
        <f>StepperPower($F$20,$G$20,$H$20,$J$20,$K$20,$L$20,$C$2,$N$20,$Q11)</f>
        <v>#VALUE!</v>
      </c>
      <c r="AS11" s="7" t="e">
        <f>StepperPower($F$21,$G$21,$H$21,$J$21,$K$21,$L$21,$C$2,$N$21,$Q11)</f>
        <v>#VALUE!</v>
      </c>
      <c r="AT11" s="7" t="e">
        <f>StepperPower($F$22,$G$22,$H$22,$J$22,$K$22,$L$22,$C$2,$N$22,$Q11)</f>
        <v>#VALUE!</v>
      </c>
      <c r="AU11" s="7" t="e">
        <f>StepperPower($F$23,$G$23,$H$23,$J$23,$K$23,$L$23,$C$2,$N$23,$Q11)</f>
        <v>#VALUE!</v>
      </c>
      <c r="AV11" s="7" t="e">
        <f>StepperPower($F$24,$G$24,$H$24,$J$24,$K$24,$L$24,$C$2,$N$24,$Q11)</f>
        <v>#VALUE!</v>
      </c>
      <c r="AW11" s="7" t="e">
        <f>StepperPower($F$25,$G$25,$H$25,$J$25,$K$25,$L$25,$C$2,$N$25,$Q11)</f>
        <v>#VALUE!</v>
      </c>
      <c r="AX11" s="7" t="e">
        <f>StepperPower($F$26,$G$26,$H$26,$J$26,$K$26,$L$26,$C$2,$N$26,$Q11)</f>
        <v>#VALUE!</v>
      </c>
      <c r="AY11" s="7" t="e">
        <f>StepperPower($F$27,$G$27,$H$27,$J$27,$K$27,$L$27,$C$2,$N$27,$Q11)</f>
        <v>#VALUE!</v>
      </c>
      <c r="AZ11" s="7" t="e">
        <f>StepperPower($F$28,$G$28,$H$28,$J$28,$K$28,$L$28,$C$2,$N$28,$Q11)</f>
        <v>#VALUE!</v>
      </c>
      <c r="BA11" s="7" t="e">
        <f>StepperPower($F$29,$G$29,$H$29,$J$29,$K$29,$L$29,$C$2,$N$29,$Q11)</f>
        <v>#VALUE!</v>
      </c>
      <c r="BB11" s="7" t="e">
        <f>StepperPower($F$30,$G$30,$H$30,$J$30,$K$30,$L$30,$C$2,$N$30,$Q11)</f>
        <v>#VALUE!</v>
      </c>
      <c r="BC11" s="7"/>
    </row>
    <row r="12" spans="1:55" ht="17.100000000000001" customHeight="1" x14ac:dyDescent="0.25">
      <c r="B12" s="1" t="s">
        <v>68</v>
      </c>
      <c r="C12" s="2">
        <f>C10/1000*C11/1000*(C6*2/C7)/(2*PI()*10)</f>
        <v>23.8732414637843</v>
      </c>
      <c r="D12" t="s">
        <v>65</v>
      </c>
      <c r="E12">
        <f>C12/100</f>
        <v>0.238732414637843</v>
      </c>
      <c r="Q12">
        <f t="shared" si="3"/>
        <v>4.5</v>
      </c>
      <c r="R12">
        <f t="shared" si="1"/>
        <v>180</v>
      </c>
      <c r="T12" s="7" cm="1">
        <f t="array" aca="1" ref="T12" ca="1">(_xlfn.SINGLE(SingleCoilTorque($F$15,$G$15,IF($I$15="",$H$15,INDEX(INDIRECT(_xlfn.CONCAT($I$15,"[Torque]")),MATCH(MIN(ABS(INDIRECT(_xlfn.CONCAT($I$15,"[RPM]"))-$R12*60/2/$C$6)),ABS(INDIRECT(_xlfn.CONCAT($I$15,"[RPM]"))-$R12*60/2/$C$6),0))*100),$J$15,$K$15,$L$15,$C$2,$N$15,$Q12))-$O$15)*$C$8</f>
        <v>55.326132921708727</v>
      </c>
      <c r="U12" s="7" cm="1">
        <f t="array" aca="1" ref="U12" ca="1">(_xlfn.SINGLE(SingleCoilTorque($F$16,$G$16,IF($I$16="",$H$16,INDEX(INDIRECT(_xlfn.CONCAT($I$16,"[Torque]")),MATCH(MIN(ABS(INDIRECT(_xlfn.CONCAT($I$16,"[RPM]"))-$R12*60/2/$C$6)),ABS(INDIRECT(_xlfn.CONCAT($I$16,"[RPM]"))-$R12*60/2/$C$6),0))*100),$J$16,$K$16,$L$16,$C$2,$N$16,$Q12))-$O$16)*$C$8</f>
        <v>60.881491799811307</v>
      </c>
      <c r="V12" s="7" cm="1">
        <f t="array" aca="1" ref="V12" ca="1">(_xlfn.SINGLE(SingleCoilTorque($F$17,$G$17,IF($I$17="",$H$17,INDEX(INDIRECT(_xlfn.CONCAT($I$17,"[Torque]")),MATCH(MIN(ABS(INDIRECT(_xlfn.CONCAT($I$17,"[RPM]"))-$R12*60/2/$C$6)),ABS(INDIRECT(_xlfn.CONCAT($I$17,"[RPM]"))-$R12*60/2/$C$6),0))*100),$J$17,$K$17,$L$17,$C$2,$N$17,$Q12))-$O$17)*$C$8</f>
        <v>69.345309155888089</v>
      </c>
      <c r="W12" s="7" t="e" cm="1">
        <f t="array" aca="1" ref="W12" ca="1">(_xlfn.SINGLE(SingleCoilTorque($F$18,$G$18,IF($I$18="",$H$18,INDEX(INDIRECT(_xlfn.CONCAT($I$18,"[Torque]")),MATCH(MIN(ABS(INDIRECT(_xlfn.CONCAT($I$18,"[RPM]"))-$R12*60/2/$C$6)),ABS(INDIRECT(_xlfn.CONCAT($I$18,"[RPM]"))-$R12*60/2/$C$6),0))*100),$J$18,$K$18,$L$18,$C$2,$N$18,$Q12))-$O$18)*$C$8</f>
        <v>#VALUE!</v>
      </c>
      <c r="X12" s="7" t="e" cm="1">
        <f t="array" aca="1" ref="X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Y12" s="7" t="e" cm="1">
        <f t="array" aca="1" ref="Y12" ca="1">(_xlfn.SINGLE(SingleCoilTorque($F$20,$G$20,IF($I$20="",$H$20,INDEX(INDIRECT(_xlfn.CONCAT($I$20,"[Torque]")),MATCH(MIN(ABS(INDIRECT(_xlfn.CONCAT($I$20,"[RPM]"))-$R12*60/2/$C$6)),ABS(INDIRECT(_xlfn.CONCAT($I$20,"[RPM]"))-$R12*60/2/$C$6),0))*100),$J$20,$K$20,$L$20,$C$2,$N$20,$Q12))-$O$20)*$C$8</f>
        <v>#VALUE!</v>
      </c>
      <c r="Z12" s="7" t="e" cm="1">
        <f t="array" aca="1" ref="Z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A12" s="7" t="e" cm="1">
        <f t="array" aca="1" ref="AA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B12" s="7" t="e" cm="1">
        <f t="array" aca="1" ref="AB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C12" s="7" t="e" cm="1">
        <f t="array" aca="1" ref="AC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D12" s="7" t="e" cm="1">
        <f t="array" aca="1" ref="AD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E12" s="7" t="e" cm="1">
        <f t="array" aca="1" ref="AE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F12" s="7" t="e" cm="1">
        <f t="array" aca="1" ref="AF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G12" s="7" t="e" cm="1">
        <f t="array" aca="1" ref="AG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H12" s="7" t="e" cm="1">
        <f t="array" aca="1" ref="AH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I12" s="7" t="e" cm="1">
        <f t="array" aca="1" ref="AI12" ca="1">(_xlfn.SINGLE(SingleCoilTorque($F$19,$G$19,IF($I$19="",$H$19,INDEX(INDIRECT(_xlfn.CONCAT($I$19,"[Torque]")),MATCH(MIN(ABS(INDIRECT(_xlfn.CONCAT($I$19,"[RPM]"))-$R12*60/2/$C$6)),ABS(INDIRECT(_xlfn.CONCAT($I$19,"[RPM]"))-$R12*60/2/$C$6),0))*100),$J$19,$K$19,$L$19,$C$2,$N$19,$Q12))-$O$19)*$C$8</f>
        <v>#VALUE!</v>
      </c>
      <c r="AJ12" s="7">
        <f>$C$12</f>
        <v>23.8732414637843</v>
      </c>
      <c r="AL12">
        <f t="shared" si="2"/>
        <v>180</v>
      </c>
      <c r="AM12" s="7">
        <f>StepperPower($F$15,$G$15,$H$15,$J$15,$K$15,$L$15,$C$2,$N$15,$Q12)</f>
        <v>24.996322489391801</v>
      </c>
      <c r="AN12" s="7">
        <f>StepperPower($F$16,$G$16,$H$16,$J$16,$K$16,$L$16,$C$2,$N$16,$Q12)</f>
        <v>17.622241867043847</v>
      </c>
      <c r="AO12" s="7">
        <f>StepperPower($F$17,$G$17,$H$17,$J$17,$K$17,$L$17,$C$2,$N$17,$Q12)</f>
        <v>22.246322489391801</v>
      </c>
      <c r="AP12" s="7" t="e">
        <f>StepperPower($F$18,$G$18,$H$18,$J$18,$K$18,$L$18,$C$2,$N$18,$Q12)</f>
        <v>#VALUE!</v>
      </c>
      <c r="AQ12" s="7" t="e">
        <f>StepperPower($F$19,$G$19,$H$19,$J$19,$K$19,$L$19,$C$2,$N$19,$Q12)</f>
        <v>#VALUE!</v>
      </c>
      <c r="AR12" s="7" t="e">
        <f>StepperPower($F$20,$G$20,$H$20,$J$20,$K$20,$L$20,$C$2,$N$20,$Q12)</f>
        <v>#VALUE!</v>
      </c>
      <c r="AS12" s="7" t="e">
        <f>StepperPower($F$21,$G$21,$H$21,$J$21,$K$21,$L$21,$C$2,$N$21,$Q12)</f>
        <v>#VALUE!</v>
      </c>
      <c r="AT12" s="7" t="e">
        <f>StepperPower($F$22,$G$22,$H$22,$J$22,$K$22,$L$22,$C$2,$N$22,$Q12)</f>
        <v>#VALUE!</v>
      </c>
      <c r="AU12" s="7" t="e">
        <f>StepperPower($F$23,$G$23,$H$23,$J$23,$K$23,$L$23,$C$2,$N$23,$Q12)</f>
        <v>#VALUE!</v>
      </c>
      <c r="AV12" s="7" t="e">
        <f>StepperPower($F$24,$G$24,$H$24,$J$24,$K$24,$L$24,$C$2,$N$24,$Q12)</f>
        <v>#VALUE!</v>
      </c>
      <c r="AW12" s="7" t="e">
        <f>StepperPower($F$25,$G$25,$H$25,$J$25,$K$25,$L$25,$C$2,$N$25,$Q12)</f>
        <v>#VALUE!</v>
      </c>
      <c r="AX12" s="7" t="e">
        <f>StepperPower($F$26,$G$26,$H$26,$J$26,$K$26,$L$26,$C$2,$N$26,$Q12)</f>
        <v>#VALUE!</v>
      </c>
      <c r="AY12" s="7" t="e">
        <f>StepperPower($F$27,$G$27,$H$27,$J$27,$K$27,$L$27,$C$2,$N$27,$Q12)</f>
        <v>#VALUE!</v>
      </c>
      <c r="AZ12" s="7" t="e">
        <f>StepperPower($F$28,$G$28,$H$28,$J$28,$K$28,$L$28,$C$2,$N$28,$Q12)</f>
        <v>#VALUE!</v>
      </c>
      <c r="BA12" s="7" t="e">
        <f>StepperPower($F$29,$G$29,$H$29,$J$29,$K$29,$L$29,$C$2,$N$29,$Q12)</f>
        <v>#VALUE!</v>
      </c>
      <c r="BB12" s="7" t="e">
        <f>StepperPower($F$30,$G$30,$H$30,$J$30,$K$30,$L$30,$C$2,$N$30,$Q12)</f>
        <v>#VALUE!</v>
      </c>
      <c r="BC12" s="7"/>
    </row>
    <row r="13" spans="1:55" x14ac:dyDescent="0.25">
      <c r="Q13">
        <f t="shared" si="3"/>
        <v>5</v>
      </c>
      <c r="R13">
        <f t="shared" si="1"/>
        <v>200</v>
      </c>
      <c r="T13" s="7" cm="1">
        <f t="array" aca="1" ref="T13" ca="1">(_xlfn.SINGLE(SingleCoilTorque($F$15,$G$15,IF($I$15="",$H$15,INDEX(INDIRECT(_xlfn.CONCAT($I$15,"[Torque]")),MATCH(MIN(ABS(INDIRECT(_xlfn.CONCAT($I$15,"[RPM]"))-$R13*60/2/$C$6)),ABS(INDIRECT(_xlfn.CONCAT($I$15,"[RPM]"))-$R13*60/2/$C$6),0))*100),$J$15,$K$15,$L$15,$C$2,$N$15,$Q13))-$O$15)*$C$8</f>
        <v>57.589216372910982</v>
      </c>
      <c r="U13" s="7" cm="1">
        <f t="array" aca="1" ref="U13" ca="1">(_xlfn.SINGLE(SingleCoilTorque($F$16,$G$16,IF($I$16="",$H$16,INDEX(INDIRECT(_xlfn.CONCAT($I$16,"[Torque]")),MATCH(MIN(ABS(INDIRECT(_xlfn.CONCAT($I$16,"[RPM]"))-$R13*60/2/$C$6)),ABS(INDIRECT(_xlfn.CONCAT($I$16,"[RPM]"))-$R13*60/2/$C$6),0))*100),$J$16,$K$16,$L$16,$C$2,$N$16,$Q13))-$O$16)*$C$8</f>
        <v>60.881491799811307</v>
      </c>
      <c r="V13" s="7" cm="1">
        <f t="array" aca="1" ref="V13" ca="1">(_xlfn.SINGLE(SingleCoilTorque($F$17,$G$17,IF($I$17="",$H$17,INDEX(INDIRECT(_xlfn.CONCAT($I$17,"[Torque]")),MATCH(MIN(ABS(INDIRECT(_xlfn.CONCAT($I$17,"[RPM]"))-$R13*60/2/$C$6)),ABS(INDIRECT(_xlfn.CONCAT($I$17,"[RPM]"))-$R13*60/2/$C$6),0))*100),$J$17,$K$17,$L$17,$C$2,$N$17,$Q13))-$O$17)*$C$8</f>
        <v>69.345309155888089</v>
      </c>
      <c r="W13" s="7" t="e" cm="1">
        <f t="array" aca="1" ref="W13" ca="1">(_xlfn.SINGLE(SingleCoilTorque($F$18,$G$18,IF($I$18="",$H$18,INDEX(INDIRECT(_xlfn.CONCAT($I$18,"[Torque]")),MATCH(MIN(ABS(INDIRECT(_xlfn.CONCAT($I$18,"[RPM]"))-$R13*60/2/$C$6)),ABS(INDIRECT(_xlfn.CONCAT($I$18,"[RPM]"))-$R13*60/2/$C$6),0))*100),$J$18,$K$18,$L$18,$C$2,$N$18,$Q13))-$O$18)*$C$8</f>
        <v>#VALUE!</v>
      </c>
      <c r="X13" s="7" t="e" cm="1">
        <f t="array" aca="1" ref="X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Y13" s="7" t="e" cm="1">
        <f t="array" aca="1" ref="Y13" ca="1">(_xlfn.SINGLE(SingleCoilTorque($F$20,$G$20,IF($I$20="",$H$20,INDEX(INDIRECT(_xlfn.CONCAT($I$20,"[Torque]")),MATCH(MIN(ABS(INDIRECT(_xlfn.CONCAT($I$20,"[RPM]"))-$R13*60/2/$C$6)),ABS(INDIRECT(_xlfn.CONCAT($I$20,"[RPM]"))-$R13*60/2/$C$6),0))*100),$J$20,$K$20,$L$20,$C$2,$N$20,$Q13))-$O$20)*$C$8</f>
        <v>#VALUE!</v>
      </c>
      <c r="Z13" s="7" t="e" cm="1">
        <f t="array" aca="1" ref="Z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A13" s="7" t="e" cm="1">
        <f t="array" aca="1" ref="AA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B13" s="7" t="e" cm="1">
        <f t="array" aca="1" ref="AB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C13" s="7" t="e" cm="1">
        <f t="array" aca="1" ref="AC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D13" s="7" t="e" cm="1">
        <f t="array" aca="1" ref="AD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E13" s="7" t="e" cm="1">
        <f t="array" aca="1" ref="AE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F13" s="7" t="e" cm="1">
        <f t="array" aca="1" ref="AF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G13" s="7" t="e" cm="1">
        <f t="array" aca="1" ref="AG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H13" s="7" t="e" cm="1">
        <f t="array" aca="1" ref="AH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I13" s="7" t="e" cm="1">
        <f t="array" aca="1" ref="AI13" ca="1">(_xlfn.SINGLE(SingleCoilTorque($F$19,$G$19,IF($I$19="",$H$19,INDEX(INDIRECT(_xlfn.CONCAT($I$19,"[Torque]")),MATCH(MIN(ABS(INDIRECT(_xlfn.CONCAT($I$19,"[RPM]"))-$R13*60/2/$C$6)),ABS(INDIRECT(_xlfn.CONCAT($I$19,"[RPM]"))-$R13*60/2/$C$6),0))*100),$J$19,$K$19,$L$19,$C$2,$N$19,$Q13))-$O$19)*$C$8</f>
        <v>#VALUE!</v>
      </c>
      <c r="AJ13" s="7">
        <f>$C$12</f>
        <v>23.8732414637843</v>
      </c>
      <c r="AL13">
        <f t="shared" si="2"/>
        <v>200</v>
      </c>
      <c r="AM13" s="7">
        <f>StepperPower($F$15,$G$15,$H$15,$J$15,$K$15,$L$15,$C$2,$N$15,$Q13)</f>
        <v>26.773691654879777</v>
      </c>
      <c r="AN13" s="7">
        <f>StepperPower($F$16,$G$16,$H$16,$J$16,$K$16,$L$16,$C$2,$N$16,$Q13)</f>
        <v>18.955268741159831</v>
      </c>
      <c r="AO13" s="7">
        <f>StepperPower($F$17,$G$17,$H$17,$J$17,$K$17,$L$17,$C$2,$N$17,$Q13)</f>
        <v>24.023691654879773</v>
      </c>
      <c r="AP13" s="7" t="e">
        <f>StepperPower($F$18,$G$18,$H$18,$J$18,$K$18,$L$18,$C$2,$N$18,$Q13)</f>
        <v>#VALUE!</v>
      </c>
      <c r="AQ13" s="7" t="e">
        <f>StepperPower($F$19,$G$19,$H$19,$J$19,$K$19,$L$19,$C$2,$N$19,$Q13)</f>
        <v>#VALUE!</v>
      </c>
      <c r="AR13" s="7" t="e">
        <f>StepperPower($F$20,$G$20,$H$20,$J$20,$K$20,$L$20,$C$2,$N$20,$Q13)</f>
        <v>#VALUE!</v>
      </c>
      <c r="AS13" s="7" t="e">
        <f>StepperPower($F$21,$G$21,$H$21,$J$21,$K$21,$L$21,$C$2,$N$21,$Q13)</f>
        <v>#VALUE!</v>
      </c>
      <c r="AT13" s="7" t="e">
        <f>StepperPower($F$22,$G$22,$H$22,$J$22,$K$22,$L$22,$C$2,$N$22,$Q13)</f>
        <v>#VALUE!</v>
      </c>
      <c r="AU13" s="7" t="e">
        <f>StepperPower($F$23,$G$23,$H$23,$J$23,$K$23,$L$23,$C$2,$N$23,$Q13)</f>
        <v>#VALUE!</v>
      </c>
      <c r="AV13" s="7" t="e">
        <f>StepperPower($F$24,$G$24,$H$24,$J$24,$K$24,$L$24,$C$2,$N$24,$Q13)</f>
        <v>#VALUE!</v>
      </c>
      <c r="AW13" s="7" t="e">
        <f>StepperPower($F$25,$G$25,$H$25,$J$25,$K$25,$L$25,$C$2,$N$25,$Q13)</f>
        <v>#VALUE!</v>
      </c>
      <c r="AX13" s="7" t="e">
        <f>StepperPower($F$26,$G$26,$H$26,$J$26,$K$26,$L$26,$C$2,$N$26,$Q13)</f>
        <v>#VALUE!</v>
      </c>
      <c r="AY13" s="7" t="e">
        <f>StepperPower($F$27,$G$27,$H$27,$J$27,$K$27,$L$27,$C$2,$N$27,$Q13)</f>
        <v>#VALUE!</v>
      </c>
      <c r="AZ13" s="7" t="e">
        <f>StepperPower($F$28,$G$28,$H$28,$J$28,$K$28,$L$28,$C$2,$N$28,$Q13)</f>
        <v>#VALUE!</v>
      </c>
      <c r="BA13" s="7" t="e">
        <f>StepperPower($F$29,$G$29,$H$29,$J$29,$K$29,$L$29,$C$2,$N$29,$Q13)</f>
        <v>#VALUE!</v>
      </c>
      <c r="BB13" s="7" t="e">
        <f>StepperPower($F$30,$G$30,$H$30,$J$30,$K$30,$L$30,$C$2,$N$30,$Q13)</f>
        <v>#VALUE!</v>
      </c>
      <c r="BC13" s="7"/>
    </row>
    <row r="14" spans="1:55" ht="60" x14ac:dyDescent="0.25">
      <c r="D14" s="5" t="s">
        <v>11</v>
      </c>
      <c r="E14" s="5" t="s">
        <v>6</v>
      </c>
      <c r="F14" s="5" t="s">
        <v>37</v>
      </c>
      <c r="G14" s="5" t="s">
        <v>42</v>
      </c>
      <c r="H14" s="5" t="s">
        <v>40</v>
      </c>
      <c r="I14" s="5" t="s">
        <v>214</v>
      </c>
      <c r="J14" s="5" t="s">
        <v>39</v>
      </c>
      <c r="K14" s="5" t="s">
        <v>38</v>
      </c>
      <c r="L14" s="5" t="s">
        <v>7</v>
      </c>
      <c r="M14" s="5" t="s">
        <v>154</v>
      </c>
      <c r="N14" t="s">
        <v>41</v>
      </c>
      <c r="O14" t="s">
        <v>66</v>
      </c>
      <c r="P14" t="s">
        <v>155</v>
      </c>
      <c r="Q14">
        <f t="shared" si="3"/>
        <v>5.5</v>
      </c>
      <c r="R14">
        <f t="shared" si="1"/>
        <v>220</v>
      </c>
      <c r="T14" s="7" cm="1">
        <f t="array" aca="1" ref="T14" ca="1">(_xlfn.SINGLE(SingleCoilTorque($F$15,$G$15,IF($I$15="",$H$15,INDEX(INDIRECT(_xlfn.CONCAT($I$15,"[Torque]")),MATCH(MIN(ABS(INDIRECT(_xlfn.CONCAT($I$15,"[RPM]"))-$R14*60/2/$C$6)),ABS(INDIRECT(_xlfn.CONCAT($I$15,"[RPM]"))-$R14*60/2/$C$6),0))*100),$J$15,$K$15,$L$15,$C$2,$N$15,$Q14))-$O$15)*$C$8</f>
        <v>57.589216372910982</v>
      </c>
      <c r="U14" s="7" cm="1">
        <f t="array" aca="1" ref="U14" ca="1">(_xlfn.SINGLE(SingleCoilTorque($F$16,$G$16,IF($I$16="",$H$16,INDEX(INDIRECT(_xlfn.CONCAT($I$16,"[Torque]")),MATCH(MIN(ABS(INDIRECT(_xlfn.CONCAT($I$16,"[RPM]"))-$R14*60/2/$C$6)),ABS(INDIRECT(_xlfn.CONCAT($I$16,"[RPM]"))-$R14*60/2/$C$6),0))*100),$J$16,$K$16,$L$16,$C$2,$N$16,$Q14))-$O$16)*$C$8</f>
        <v>60.881491799811307</v>
      </c>
      <c r="V14" s="7" cm="1">
        <f t="array" aca="1" ref="V14" ca="1">(_xlfn.SINGLE(SingleCoilTorque($F$17,$G$17,IF($I$17="",$H$17,INDEX(INDIRECT(_xlfn.CONCAT($I$17,"[Torque]")),MATCH(MIN(ABS(INDIRECT(_xlfn.CONCAT($I$17,"[RPM]"))-$R14*60/2/$C$6)),ABS(INDIRECT(_xlfn.CONCAT($I$17,"[RPM]"))-$R14*60/2/$C$6),0))*100),$J$17,$K$17,$L$17,$C$2,$N$17,$Q14))-$O$17)*$C$8</f>
        <v>69.345309155888089</v>
      </c>
      <c r="W14" s="7" t="e" cm="1">
        <f t="array" aca="1" ref="W14" ca="1">(_xlfn.SINGLE(SingleCoilTorque($F$18,$G$18,IF($I$18="",$H$18,INDEX(INDIRECT(_xlfn.CONCAT($I$18,"[Torque]")),MATCH(MIN(ABS(INDIRECT(_xlfn.CONCAT($I$18,"[RPM]"))-$R14*60/2/$C$6)),ABS(INDIRECT(_xlfn.CONCAT($I$18,"[RPM]"))-$R14*60/2/$C$6),0))*100),$J$18,$K$18,$L$18,$C$2,$N$18,$Q14))-$O$18)*$C$8</f>
        <v>#VALUE!</v>
      </c>
      <c r="X14" s="7" t="e" cm="1">
        <f t="array" aca="1" ref="X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Y14" s="7" t="e" cm="1">
        <f t="array" aca="1" ref="Y14" ca="1">(_xlfn.SINGLE(SingleCoilTorque($F$20,$G$20,IF($I$20="",$H$20,INDEX(INDIRECT(_xlfn.CONCAT($I$20,"[Torque]")),MATCH(MIN(ABS(INDIRECT(_xlfn.CONCAT($I$20,"[RPM]"))-$R14*60/2/$C$6)),ABS(INDIRECT(_xlfn.CONCAT($I$20,"[RPM]"))-$R14*60/2/$C$6),0))*100),$J$20,$K$20,$L$20,$C$2,$N$20,$Q14))-$O$20)*$C$8</f>
        <v>#VALUE!</v>
      </c>
      <c r="Z14" s="7" t="e" cm="1">
        <f t="array" aca="1" ref="Z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A14" s="7" t="e" cm="1">
        <f t="array" aca="1" ref="AA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B14" s="7" t="e" cm="1">
        <f t="array" aca="1" ref="AB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C14" s="7" t="e" cm="1">
        <f t="array" aca="1" ref="AC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D14" s="7" t="e" cm="1">
        <f t="array" aca="1" ref="AD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E14" s="7" t="e" cm="1">
        <f t="array" aca="1" ref="AE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F14" s="7" t="e" cm="1">
        <f t="array" aca="1" ref="AF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G14" s="7" t="e" cm="1">
        <f t="array" aca="1" ref="AG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H14" s="7" t="e" cm="1">
        <f t="array" aca="1" ref="AH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I14" s="7" t="e" cm="1">
        <f t="array" aca="1" ref="AI14" ca="1">(_xlfn.SINGLE(SingleCoilTorque($F$19,$G$19,IF($I$19="",$H$19,INDEX(INDIRECT(_xlfn.CONCAT($I$19,"[Torque]")),MATCH(MIN(ABS(INDIRECT(_xlfn.CONCAT($I$19,"[RPM]"))-$R14*60/2/$C$6)),ABS(INDIRECT(_xlfn.CONCAT($I$19,"[RPM]"))-$R14*60/2/$C$6),0))*100),$J$19,$K$19,$L$19,$C$2,$N$19,$Q14))-$O$19)*$C$8</f>
        <v>#VALUE!</v>
      </c>
      <c r="AJ14" s="7">
        <f>$C$12</f>
        <v>23.8732414637843</v>
      </c>
      <c r="AL14">
        <f t="shared" si="2"/>
        <v>220</v>
      </c>
      <c r="AM14" s="7">
        <f>StepperPower($F$15,$G$15,$H$15,$J$15,$K$15,$L$15,$C$2,$N$15,$Q14)</f>
        <v>28.551060820367752</v>
      </c>
      <c r="AN14" s="7">
        <f>StepperPower($F$16,$G$16,$H$16,$J$16,$K$16,$L$16,$C$2,$N$16,$Q14)</f>
        <v>20.288295615275818</v>
      </c>
      <c r="AO14" s="7">
        <f>StepperPower($F$17,$G$17,$H$17,$J$17,$K$17,$L$17,$C$2,$N$17,$Q14)</f>
        <v>25.801060820367752</v>
      </c>
      <c r="AP14" s="7" t="e">
        <f>StepperPower($F$18,$G$18,$H$18,$J$18,$K$18,$L$18,$C$2,$N$18,$Q14)</f>
        <v>#VALUE!</v>
      </c>
      <c r="AQ14" s="7" t="e">
        <f>StepperPower($F$19,$G$19,$H$19,$J$19,$K$19,$L$19,$C$2,$N$19,$Q14)</f>
        <v>#VALUE!</v>
      </c>
      <c r="AR14" s="7" t="e">
        <f>StepperPower($F$20,$G$20,$H$20,$J$20,$K$20,$L$20,$C$2,$N$20,$Q14)</f>
        <v>#VALUE!</v>
      </c>
      <c r="AS14" s="7" t="e">
        <f>StepperPower($F$21,$G$21,$H$21,$J$21,$K$21,$L$21,$C$2,$N$21,$Q14)</f>
        <v>#VALUE!</v>
      </c>
      <c r="AT14" s="7" t="e">
        <f>StepperPower($F$22,$G$22,$H$22,$J$22,$K$22,$L$22,$C$2,$N$22,$Q14)</f>
        <v>#VALUE!</v>
      </c>
      <c r="AU14" s="7" t="e">
        <f>StepperPower($F$23,$G$23,$H$23,$J$23,$K$23,$L$23,$C$2,$N$23,$Q14)</f>
        <v>#VALUE!</v>
      </c>
      <c r="AV14" s="7" t="e">
        <f>StepperPower($F$24,$G$24,$H$24,$J$24,$K$24,$L$24,$C$2,$N$24,$Q14)</f>
        <v>#VALUE!</v>
      </c>
      <c r="AW14" s="7" t="e">
        <f>StepperPower($F$25,$G$25,$H$25,$J$25,$K$25,$L$25,$C$2,$N$25,$Q14)</f>
        <v>#VALUE!</v>
      </c>
      <c r="AX14" s="7" t="e">
        <f>StepperPower($F$26,$G$26,$H$26,$J$26,$K$26,$L$26,$C$2,$N$26,$Q14)</f>
        <v>#VALUE!</v>
      </c>
      <c r="AY14" s="7" t="e">
        <f>StepperPower($F$27,$G$27,$H$27,$J$27,$K$27,$L$27,$C$2,$N$27,$Q14)</f>
        <v>#VALUE!</v>
      </c>
      <c r="AZ14" s="7" t="e">
        <f>StepperPower($F$28,$G$28,$H$28,$J$28,$K$28,$L$28,$C$2,$N$28,$Q14)</f>
        <v>#VALUE!</v>
      </c>
      <c r="BA14" s="7" t="e">
        <f>StepperPower($F$29,$G$29,$H$29,$J$29,$K$29,$L$29,$C$2,$N$29,$Q14)</f>
        <v>#VALUE!</v>
      </c>
      <c r="BB14" s="7" t="e">
        <f>StepperPower($F$30,$G$30,$H$30,$J$30,$K$30,$L$30,$C$2,$N$30,$Q14)</f>
        <v>#VALUE!</v>
      </c>
      <c r="BC14" s="7"/>
    </row>
    <row r="15" spans="1:55" x14ac:dyDescent="0.25">
      <c r="A15" t="s">
        <v>43</v>
      </c>
      <c r="C15" s="1" t="s">
        <v>211</v>
      </c>
      <c r="D15">
        <f>VLOOKUP($C15,'Motor Database'!$A$3:$K$300,4,FALSE)</f>
        <v>17</v>
      </c>
      <c r="E15">
        <f>VLOOKUP($C15,'Motor Database'!$A$3:$K$300,5,FALSE)</f>
        <v>60</v>
      </c>
      <c r="F15">
        <f>VLOOKUP($C15,'Motor Database'!$A$3:$K$300,6,FALSE)</f>
        <v>1.8</v>
      </c>
      <c r="G15">
        <f>VLOOKUP($C15,'Motor Database'!$A$3:$K$300,7,FALSE)</f>
        <v>3</v>
      </c>
      <c r="H15">
        <f>VLOOKUP($C15,'Motor Database'!$A$3:$K$300,8,FALSE)</f>
        <v>80</v>
      </c>
      <c r="I15" t="str">
        <f>IF(VLOOKUP($C15,'Motor Database'!$A$3:$L$300,12,FALSE)=0,"",VLOOKUP($C15,'Motor Database'!$A$3:$L$300,12,FALSE))</f>
        <v>Kraken_24</v>
      </c>
      <c r="J15">
        <f>VLOOKUP($C15,'Motor Database'!$A$3:$K$300,9,FALSE)</f>
        <v>1.6</v>
      </c>
      <c r="K15">
        <f>VLOOKUP($C15,'Motor Database'!$A$3:$K$300,10,FALSE)</f>
        <v>1</v>
      </c>
      <c r="L15">
        <f>VLOOKUP($C15,'Motor Database'!$A$3:$K$300,11,FALSE)</f>
        <v>100</v>
      </c>
      <c r="M15" s="2">
        <f>SQRT($C$5/2/$K15)</f>
        <v>7.745966692414834</v>
      </c>
      <c r="N15" s="2">
        <f>MIN($C$3,$C$4*$G15,$G15,M15)</f>
        <v>3</v>
      </c>
      <c r="O15" s="2">
        <f>$C$10/($C$6*2)*2*PI()*(L15/(1000*100^2))*100</f>
        <v>7.8539816339744846</v>
      </c>
      <c r="P15">
        <f>N15^2*K15*2</f>
        <v>18</v>
      </c>
      <c r="Q15">
        <f t="shared" si="3"/>
        <v>6</v>
      </c>
      <c r="R15">
        <f t="shared" si="1"/>
        <v>240</v>
      </c>
      <c r="T15" s="7" cm="1">
        <f t="array" aca="1" ref="T15" ca="1">(_xlfn.SINGLE(SingleCoilTorque($F$15,$G$15,IF($I$15="",$H$15,INDEX(INDIRECT(_xlfn.CONCAT($I$15,"[Torque]")),MATCH(MIN(ABS(INDIRECT(_xlfn.CONCAT($I$15,"[RPM]"))-$R15*60/2/$C$6)),ABS(INDIRECT(_xlfn.CONCAT($I$15,"[RPM]"))-$R15*60/2/$C$6),0))*100),$J$15,$K$15,$L$15,$C$2,$N$15,$Q15))-$O$15)*$C$8</f>
        <v>60.418070686913808</v>
      </c>
      <c r="U15" s="7" cm="1">
        <f t="array" aca="1" ref="U15" ca="1">(_xlfn.SINGLE(SingleCoilTorque($F$16,$G$16,IF($I$16="",$H$16,INDEX(INDIRECT(_xlfn.CONCAT($I$16,"[Torque]")),MATCH(MIN(ABS(INDIRECT(_xlfn.CONCAT($I$16,"[RPM]"))-$R15*60/2/$C$6)),ABS(INDIRECT(_xlfn.CONCAT($I$16,"[RPM]"))-$R15*60/2/$C$6),0))*100),$J$16,$K$16,$L$16,$C$2,$N$16,$Q15))-$O$16)*$C$8</f>
        <v>60.54202928213099</v>
      </c>
      <c r="V15" s="7" cm="1">
        <f t="array" aca="1" ref="V15" ca="1">(_xlfn.SINGLE(SingleCoilTorque($F$17,$G$17,IF($I$17="",$H$17,INDEX(INDIRECT(_xlfn.CONCAT($I$17,"[Torque]")),MATCH(MIN(ABS(INDIRECT(_xlfn.CONCAT($I$17,"[RPM]"))-$R15*60/2/$C$6)),ABS(INDIRECT(_xlfn.CONCAT($I$17,"[RPM]"))-$R15*60/2/$C$6),0))*100),$J$17,$K$17,$L$17,$C$2,$N$17,$Q15))-$O$17)*$C$8</f>
        <v>65.950683979084687</v>
      </c>
      <c r="W15" s="7" t="e" cm="1">
        <f t="array" aca="1" ref="W15" ca="1">(_xlfn.SINGLE(SingleCoilTorque($F$18,$G$18,IF($I$18="",$H$18,INDEX(INDIRECT(_xlfn.CONCAT($I$18,"[Torque]")),MATCH(MIN(ABS(INDIRECT(_xlfn.CONCAT($I$18,"[RPM]"))-$R15*60/2/$C$6)),ABS(INDIRECT(_xlfn.CONCAT($I$18,"[RPM]"))-$R15*60/2/$C$6),0))*100),$J$18,$K$18,$L$18,$C$2,$N$18,$Q15))-$O$18)*$C$8</f>
        <v>#VALUE!</v>
      </c>
      <c r="X15" s="7" t="e" cm="1">
        <f t="array" aca="1" ref="X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Y15" s="7" t="e" cm="1">
        <f t="array" aca="1" ref="Y15" ca="1">(_xlfn.SINGLE(SingleCoilTorque($F$20,$G$20,IF($I$20="",$H$20,INDEX(INDIRECT(_xlfn.CONCAT($I$20,"[Torque]")),MATCH(MIN(ABS(INDIRECT(_xlfn.CONCAT($I$20,"[RPM]"))-$R15*60/2/$C$6)),ABS(INDIRECT(_xlfn.CONCAT($I$20,"[RPM]"))-$R15*60/2/$C$6),0))*100),$J$20,$K$20,$L$20,$C$2,$N$20,$Q15))-$O$20)*$C$8</f>
        <v>#VALUE!</v>
      </c>
      <c r="Z15" s="7" t="e" cm="1">
        <f t="array" aca="1" ref="Z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A15" s="7" t="e" cm="1">
        <f t="array" aca="1" ref="AA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B15" s="7" t="e" cm="1">
        <f t="array" aca="1" ref="AB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C15" s="7" t="e" cm="1">
        <f t="array" aca="1" ref="AC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D15" s="7" t="e" cm="1">
        <f t="array" aca="1" ref="AD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E15" s="7" t="e" cm="1">
        <f t="array" aca="1" ref="AE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F15" s="7" t="e" cm="1">
        <f t="array" aca="1" ref="AF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G15" s="7" t="e" cm="1">
        <f t="array" aca="1" ref="AG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H15" s="7" t="e" cm="1">
        <f t="array" aca="1" ref="AH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I15" s="7" t="e" cm="1">
        <f t="array" aca="1" ref="AI15" ca="1">(_xlfn.SINGLE(SingleCoilTorque($F$19,$G$19,IF($I$19="",$H$19,INDEX(INDIRECT(_xlfn.CONCAT($I$19,"[Torque]")),MATCH(MIN(ABS(INDIRECT(_xlfn.CONCAT($I$19,"[RPM]"))-$R15*60/2/$C$6)),ABS(INDIRECT(_xlfn.CONCAT($I$19,"[RPM]"))-$R15*60/2/$C$6),0))*100),$J$19,$K$19,$L$19,$C$2,$N$19,$Q15))-$O$19)*$C$8</f>
        <v>#VALUE!</v>
      </c>
      <c r="AJ15" s="7">
        <f>$C$12</f>
        <v>23.8732414637843</v>
      </c>
      <c r="AL15">
        <f t="shared" si="2"/>
        <v>240</v>
      </c>
      <c r="AM15" s="7">
        <f>StepperPower($F$15,$G$15,$H$15,$J$15,$K$15,$L$15,$C$2,$N$15,$Q15)</f>
        <v>30.328429985855728</v>
      </c>
      <c r="AN15" s="7">
        <f>StepperPower($F$16,$G$16,$H$16,$J$16,$K$16,$L$16,$C$2,$N$16,$Q15)</f>
        <v>21.621322489391801</v>
      </c>
      <c r="AO15" s="7">
        <f>StepperPower($F$17,$G$17,$H$17,$J$17,$K$17,$L$17,$C$2,$N$17,$Q15)</f>
        <v>27.578429985855731</v>
      </c>
      <c r="AP15" s="7" t="e">
        <f>StepperPower($F$18,$G$18,$H$18,$J$18,$K$18,$L$18,$C$2,$N$18,$Q15)</f>
        <v>#VALUE!</v>
      </c>
      <c r="AQ15" s="7" t="e">
        <f>StepperPower($F$19,$G$19,$H$19,$J$19,$K$19,$L$19,$C$2,$N$19,$Q15)</f>
        <v>#VALUE!</v>
      </c>
      <c r="AR15" s="7" t="e">
        <f>StepperPower($F$20,$G$20,$H$20,$J$20,$K$20,$L$20,$C$2,$N$20,$Q15)</f>
        <v>#VALUE!</v>
      </c>
      <c r="AS15" s="7" t="e">
        <f>StepperPower($F$21,$G$21,$H$21,$J$21,$K$21,$L$21,$C$2,$N$21,$Q15)</f>
        <v>#VALUE!</v>
      </c>
      <c r="AT15" s="7" t="e">
        <f>StepperPower($F$22,$G$22,$H$22,$J$22,$K$22,$L$22,$C$2,$N$22,$Q15)</f>
        <v>#VALUE!</v>
      </c>
      <c r="AU15" s="7" t="e">
        <f>StepperPower($F$23,$G$23,$H$23,$J$23,$K$23,$L$23,$C$2,$N$23,$Q15)</f>
        <v>#VALUE!</v>
      </c>
      <c r="AV15" s="7" t="e">
        <f>StepperPower($F$24,$G$24,$H$24,$J$24,$K$24,$L$24,$C$2,$N$24,$Q15)</f>
        <v>#VALUE!</v>
      </c>
      <c r="AW15" s="7" t="e">
        <f>StepperPower($F$25,$G$25,$H$25,$J$25,$K$25,$L$25,$C$2,$N$25,$Q15)</f>
        <v>#VALUE!</v>
      </c>
      <c r="AX15" s="7" t="e">
        <f>StepperPower($F$26,$G$26,$H$26,$J$26,$K$26,$L$26,$C$2,$N$26,$Q15)</f>
        <v>#VALUE!</v>
      </c>
      <c r="AY15" s="7" t="e">
        <f>StepperPower($F$27,$G$27,$H$27,$J$27,$K$27,$L$27,$C$2,$N$27,$Q15)</f>
        <v>#VALUE!</v>
      </c>
      <c r="AZ15" s="7" t="e">
        <f>StepperPower($F$28,$G$28,$H$28,$J$28,$K$28,$L$28,$C$2,$N$28,$Q15)</f>
        <v>#VALUE!</v>
      </c>
      <c r="BA15" s="7" t="e">
        <f>StepperPower($F$29,$G$29,$H$29,$J$29,$K$29,$L$29,$C$2,$N$29,$Q15)</f>
        <v>#VALUE!</v>
      </c>
      <c r="BB15" s="7" t="e">
        <f>StepperPower($F$30,$G$30,$H$30,$J$30,$K$30,$L$30,$C$2,$N$30,$Q15)</f>
        <v>#VALUE!</v>
      </c>
      <c r="BC15" s="7"/>
    </row>
    <row r="16" spans="1:55" x14ac:dyDescent="0.25">
      <c r="A16" t="s">
        <v>44</v>
      </c>
      <c r="C16" s="1" t="s">
        <v>212</v>
      </c>
      <c r="D16">
        <f>VLOOKUP($C16,'Motor Database'!$A$3:$K$300,4,FALSE)</f>
        <v>17</v>
      </c>
      <c r="E16">
        <f>VLOOKUP($C16,'Motor Database'!$A$3:$K$300,5,FALSE)</f>
        <v>48</v>
      </c>
      <c r="F16">
        <f>VLOOKUP($C16,'Motor Database'!$A$3:$K$300,6,FALSE)</f>
        <v>1.8</v>
      </c>
      <c r="G16">
        <f>VLOOKUP($C16,'Motor Database'!$A$3:$K$300,7,FALSE)</f>
        <v>2.5</v>
      </c>
      <c r="H16">
        <f>VLOOKUP($C16,'Motor Database'!$A$3:$K$300,8,FALSE)</f>
        <v>60</v>
      </c>
      <c r="I16" t="str">
        <f>IF(VLOOKUP($C16,'Motor Database'!$A$3:$L$300,12,FALSE)=0,"",VLOOKUP($C16,'Motor Database'!$A$3:$L$300,12,FALSE))</f>
        <v>CurveCM06_36</v>
      </c>
      <c r="J16">
        <f>VLOOKUP($C16,'Motor Database'!$A$3:$K$300,9,FALSE)</f>
        <v>1.6</v>
      </c>
      <c r="K16">
        <f>VLOOKUP($C16,'Motor Database'!$A$3:$K$300,10,FALSE)</f>
        <v>0.9</v>
      </c>
      <c r="L16">
        <f>VLOOKUP($C16,'Motor Database'!$A$3:$K$300,11,FALSE)</f>
        <v>72</v>
      </c>
      <c r="M16" s="2">
        <f t="shared" ref="M16:M30" si="4">SQRT($C$5/2/$K16)</f>
        <v>8.1649658092772608</v>
      </c>
      <c r="N16" s="2">
        <f>MIN($C$3,$C$4*$G16,$G16,M16)</f>
        <v>2.5</v>
      </c>
      <c r="O16" s="2">
        <f>$C$10/($C$6*2)*2*PI()*(L16/(1000*100^2))*100</f>
        <v>5.6548667764616276</v>
      </c>
      <c r="P16">
        <f t="shared" ref="P16:P21" si="5">N16^2*K16*2</f>
        <v>11.25</v>
      </c>
      <c r="Q16">
        <f t="shared" si="3"/>
        <v>6.5</v>
      </c>
      <c r="R16">
        <f t="shared" si="1"/>
        <v>260</v>
      </c>
      <c r="T16" s="7" cm="1">
        <f t="array" aca="1" ref="T16" ca="1">(_xlfn.SINGLE(SingleCoilTorque($F$15,$G$15,IF($I$15="",$H$15,INDEX(INDIRECT(_xlfn.CONCAT($I$15,"[Torque]")),MATCH(MIN(ABS(INDIRECT(_xlfn.CONCAT($I$15,"[RPM]"))-$R16*60/2/$C$6)),ABS(INDIRECT(_xlfn.CONCAT($I$15,"[RPM]"))-$R16*60/2/$C$6),0))*100),$J$15,$K$15,$L$15,$C$2,$N$15,$Q16))-$O$15)*$C$8</f>
        <v>60.418070686913808</v>
      </c>
      <c r="U16" s="7" cm="1">
        <f t="array" aca="1" ref="U16" ca="1">(_xlfn.SINGLE(SingleCoilTorque($F$16,$G$16,IF($I$16="",$H$16,INDEX(INDIRECT(_xlfn.CONCAT($I$16,"[Torque]")),MATCH(MIN(ABS(INDIRECT(_xlfn.CONCAT($I$16,"[RPM]"))-$R16*60/2/$C$6)),ABS(INDIRECT(_xlfn.CONCAT($I$16,"[RPM]"))-$R16*60/2/$C$6),0))*100),$J$16,$K$16,$L$16,$C$2,$N$16,$Q16))-$O$16)*$C$8</f>
        <v>60.54202928213099</v>
      </c>
      <c r="V16" s="7" cm="1">
        <f t="array" aca="1" ref="V16" ca="1">(_xlfn.SINGLE(SingleCoilTorque($F$17,$G$17,IF($I$17="",$H$17,INDEX(INDIRECT(_xlfn.CONCAT($I$17,"[Torque]")),MATCH(MIN(ABS(INDIRECT(_xlfn.CONCAT($I$17,"[RPM]"))-$R16*60/2/$C$6)),ABS(INDIRECT(_xlfn.CONCAT($I$17,"[RPM]"))-$R16*60/2/$C$6),0))*100),$J$17,$K$17,$L$17,$C$2,$N$17,$Q16))-$O$17)*$C$8</f>
        <v>65.950683979084687</v>
      </c>
      <c r="W16" s="7" t="e" cm="1">
        <f t="array" aca="1" ref="W16" ca="1">(_xlfn.SINGLE(SingleCoilTorque($F$18,$G$18,IF($I$18="",$H$18,INDEX(INDIRECT(_xlfn.CONCAT($I$18,"[Torque]")),MATCH(MIN(ABS(INDIRECT(_xlfn.CONCAT($I$18,"[RPM]"))-$R16*60/2/$C$6)),ABS(INDIRECT(_xlfn.CONCAT($I$18,"[RPM]"))-$R16*60/2/$C$6),0))*100),$J$18,$K$18,$L$18,$C$2,$N$18,$Q16))-$O$18)*$C$8</f>
        <v>#VALUE!</v>
      </c>
      <c r="X16" s="7" t="e" cm="1">
        <f t="array" aca="1" ref="X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Y16" s="7" t="e" cm="1">
        <f t="array" aca="1" ref="Y16" ca="1">(_xlfn.SINGLE(SingleCoilTorque($F$20,$G$20,IF($I$20="",$H$20,INDEX(INDIRECT(_xlfn.CONCAT($I$20,"[Torque]")),MATCH(MIN(ABS(INDIRECT(_xlfn.CONCAT($I$20,"[RPM]"))-$R16*60/2/$C$6)),ABS(INDIRECT(_xlfn.CONCAT($I$20,"[RPM]"))-$R16*60/2/$C$6),0))*100),$J$20,$K$20,$L$20,$C$2,$N$20,$Q16))-$O$20)*$C$8</f>
        <v>#VALUE!</v>
      </c>
      <c r="Z16" s="7" t="e" cm="1">
        <f t="array" aca="1" ref="Z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A16" s="7" t="e" cm="1">
        <f t="array" aca="1" ref="AA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B16" s="7" t="e" cm="1">
        <f t="array" aca="1" ref="AB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C16" s="7" t="e" cm="1">
        <f t="array" aca="1" ref="AC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D16" s="7" t="e" cm="1">
        <f t="array" aca="1" ref="AD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E16" s="7" t="e" cm="1">
        <f t="array" aca="1" ref="AE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F16" s="7" t="e" cm="1">
        <f t="array" aca="1" ref="AF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G16" s="7" t="e" cm="1">
        <f t="array" aca="1" ref="AG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H16" s="7" t="e" cm="1">
        <f t="array" aca="1" ref="AH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I16" s="7" t="e" cm="1">
        <f t="array" aca="1" ref="AI16" ca="1">(_xlfn.SINGLE(SingleCoilTorque($F$19,$G$19,IF($I$19="",$H$19,INDEX(INDIRECT(_xlfn.CONCAT($I$19,"[Torque]")),MATCH(MIN(ABS(INDIRECT(_xlfn.CONCAT($I$19,"[RPM]"))-$R16*60/2/$C$6)),ABS(INDIRECT(_xlfn.CONCAT($I$19,"[RPM]"))-$R16*60/2/$C$6),0))*100),$J$19,$K$19,$L$19,$C$2,$N$19,$Q16))-$O$19)*$C$8</f>
        <v>#VALUE!</v>
      </c>
      <c r="AJ16" s="7">
        <f>$C$12</f>
        <v>23.8732414637843</v>
      </c>
      <c r="AL16">
        <f t="shared" si="2"/>
        <v>260</v>
      </c>
      <c r="AM16" s="7">
        <f>StepperPower($F$15,$G$15,$H$15,$J$15,$K$15,$L$15,$C$2,$N$15,$Q16)</f>
        <v>32.105799151343703</v>
      </c>
      <c r="AN16" s="7">
        <f>StepperPower($F$16,$G$16,$H$16,$J$16,$K$16,$L$16,$C$2,$N$16,$Q16)</f>
        <v>22.954349363507784</v>
      </c>
      <c r="AO16" s="7">
        <f>StepperPower($F$17,$G$17,$H$17,$J$17,$K$17,$L$17,$C$2,$N$17,$Q16)</f>
        <v>29.355799151343707</v>
      </c>
      <c r="AP16" s="7" t="e">
        <f>StepperPower($F$18,$G$18,$H$18,$J$18,$K$18,$L$18,$C$2,$N$18,$Q16)</f>
        <v>#VALUE!</v>
      </c>
      <c r="AQ16" s="7" t="e">
        <f>StepperPower($F$19,$G$19,$H$19,$J$19,$K$19,$L$19,$C$2,$N$19,$Q16)</f>
        <v>#VALUE!</v>
      </c>
      <c r="AR16" s="7" t="e">
        <f>StepperPower($F$20,$G$20,$H$20,$J$20,$K$20,$L$20,$C$2,$N$20,$Q16)</f>
        <v>#VALUE!</v>
      </c>
      <c r="AS16" s="7" t="e">
        <f>StepperPower($F$21,$G$21,$H$21,$J$21,$K$21,$L$21,$C$2,$N$21,$Q16)</f>
        <v>#VALUE!</v>
      </c>
      <c r="AT16" s="7" t="e">
        <f>StepperPower($F$22,$G$22,$H$22,$J$22,$K$22,$L$22,$C$2,$N$22,$Q16)</f>
        <v>#VALUE!</v>
      </c>
      <c r="AU16" s="7" t="e">
        <f>StepperPower($F$23,$G$23,$H$23,$J$23,$K$23,$L$23,$C$2,$N$23,$Q16)</f>
        <v>#VALUE!</v>
      </c>
      <c r="AV16" s="7" t="e">
        <f>StepperPower($F$24,$G$24,$H$24,$J$24,$K$24,$L$24,$C$2,$N$24,$Q16)</f>
        <v>#VALUE!</v>
      </c>
      <c r="AW16" s="7" t="e">
        <f>StepperPower($F$25,$G$25,$H$25,$J$25,$K$25,$L$25,$C$2,$N$25,$Q16)</f>
        <v>#VALUE!</v>
      </c>
      <c r="AX16" s="7" t="e">
        <f>StepperPower($F$26,$G$26,$H$26,$J$26,$K$26,$L$26,$C$2,$N$26,$Q16)</f>
        <v>#VALUE!</v>
      </c>
      <c r="AY16" s="7" t="e">
        <f>StepperPower($F$27,$G$27,$H$27,$J$27,$K$27,$L$27,$C$2,$N$27,$Q16)</f>
        <v>#VALUE!</v>
      </c>
      <c r="AZ16" s="7" t="e">
        <f>StepperPower($F$28,$G$28,$H$28,$J$28,$K$28,$L$28,$C$2,$N$28,$Q16)</f>
        <v>#VALUE!</v>
      </c>
      <c r="BA16" s="7" t="e">
        <f>StepperPower($F$29,$G$29,$H$29,$J$29,$K$29,$L$29,$C$2,$N$29,$Q16)</f>
        <v>#VALUE!</v>
      </c>
      <c r="BB16" s="7" t="e">
        <f>StepperPower($F$30,$G$30,$H$30,$J$30,$K$30,$L$30,$C$2,$N$30,$Q16)</f>
        <v>#VALUE!</v>
      </c>
      <c r="BC16" s="7"/>
    </row>
    <row r="17" spans="1:55" x14ac:dyDescent="0.25">
      <c r="A17" t="s">
        <v>45</v>
      </c>
      <c r="C17" s="1" t="s">
        <v>231</v>
      </c>
      <c r="D17">
        <f>VLOOKUP($C17,'Motor Database'!$A$3:$K$300,4,FALSE)</f>
        <v>17</v>
      </c>
      <c r="E17">
        <f>VLOOKUP($C17,'Motor Database'!$A$3:$K$300,5,FALSE)</f>
        <v>60</v>
      </c>
      <c r="F17">
        <f>VLOOKUP($C17,'Motor Database'!$A$3:$K$300,6,FALSE)</f>
        <v>1.8</v>
      </c>
      <c r="G17">
        <f>VLOOKUP($C17,'Motor Database'!$A$3:$K$300,7,FALSE)</f>
        <v>2.5</v>
      </c>
      <c r="H17">
        <f>VLOOKUP($C17,'Motor Database'!$A$3:$K$300,8,FALSE)</f>
        <v>80</v>
      </c>
      <c r="I17" t="str">
        <f>IF(VLOOKUP($C17,'Motor Database'!$A$3:$L$300,12,FALSE)=0,"",VLOOKUP($C17,'Motor Database'!$A$3:$L$300,12,FALSE))</f>
        <v>CurveCM08_36</v>
      </c>
      <c r="J17">
        <f>VLOOKUP($C17,'Motor Database'!$A$3:$K$300,9,FALSE)</f>
        <v>2.4</v>
      </c>
      <c r="K17">
        <f>VLOOKUP($C17,'Motor Database'!$A$3:$K$300,10,FALSE)</f>
        <v>1</v>
      </c>
      <c r="L17">
        <f>VLOOKUP($C17,'Motor Database'!$A$3:$K$300,11,FALSE)</f>
        <v>110</v>
      </c>
      <c r="M17" s="2">
        <f t="shared" si="4"/>
        <v>7.745966692414834</v>
      </c>
      <c r="N17" s="2">
        <f>MIN($C$3,$C$4*$G17,$G17,M17)</f>
        <v>2.5</v>
      </c>
      <c r="O17" s="2">
        <f>$C$10/($C$6*2)*2*PI()*(L17/(1000*100^2))*100</f>
        <v>8.6393797973719302</v>
      </c>
      <c r="P17">
        <f t="shared" si="5"/>
        <v>12.5</v>
      </c>
      <c r="Q17">
        <f t="shared" si="3"/>
        <v>7</v>
      </c>
      <c r="R17">
        <f t="shared" si="1"/>
        <v>280</v>
      </c>
      <c r="T17" s="7" cm="1">
        <f t="array" aca="1" ref="T17" ca="1">(_xlfn.SINGLE(SingleCoilTorque($F$15,$G$15,IF($I$15="",$H$15,INDEX(INDIRECT(_xlfn.CONCAT($I$15,"[Torque]")),MATCH(MIN(ABS(INDIRECT(_xlfn.CONCAT($I$15,"[RPM]"))-$R17*60/2/$C$6)),ABS(INDIRECT(_xlfn.CONCAT($I$15,"[RPM]"))-$R17*60/2/$C$6),0))*100),$J$15,$K$15,$L$15,$C$2,$N$15,$Q17))-$O$15)*$C$8</f>
        <v>60.757533204594147</v>
      </c>
      <c r="U17" s="7" cm="1">
        <f t="array" aca="1" ref="U17" ca="1">(_xlfn.SINGLE(SingleCoilTorque($F$16,$G$16,IF($I$16="",$H$16,INDEX(INDIRECT(_xlfn.CONCAT($I$16,"[Torque]")),MATCH(MIN(ABS(INDIRECT(_xlfn.CONCAT($I$16,"[RPM]"))-$R17*60/2/$C$6)),ABS(INDIRECT(_xlfn.CONCAT($I$16,"[RPM]"))-$R17*60/2/$C$6),0))*100),$J$16,$K$16,$L$16,$C$2,$N$16,$Q17))-$O$16)*$C$8</f>
        <v>60.54202928213099</v>
      </c>
      <c r="V17" s="7" cm="1">
        <f t="array" aca="1" ref="V17" ca="1">(_xlfn.SINGLE(SingleCoilTorque($F$17,$G$17,IF($I$17="",$H$17,INDEX(INDIRECT(_xlfn.CONCAT($I$17,"[Torque]")),MATCH(MIN(ABS(INDIRECT(_xlfn.CONCAT($I$17,"[RPM]"))-$R17*60/2/$C$6)),ABS(INDIRECT(_xlfn.CONCAT($I$17,"[RPM]"))-$R17*60/2/$C$6),0))*100),$J$17,$K$17,$L$17,$C$2,$N$17,$Q17))-$O$17)*$C$8</f>
        <v>65.950683979084687</v>
      </c>
      <c r="W17" s="7" t="e" cm="1">
        <f t="array" aca="1" ref="W17" ca="1">(_xlfn.SINGLE(SingleCoilTorque($F$18,$G$18,IF($I$18="",$H$18,INDEX(INDIRECT(_xlfn.CONCAT($I$18,"[Torque]")),MATCH(MIN(ABS(INDIRECT(_xlfn.CONCAT($I$18,"[RPM]"))-$R17*60/2/$C$6)),ABS(INDIRECT(_xlfn.CONCAT($I$18,"[RPM]"))-$R17*60/2/$C$6),0))*100),$J$18,$K$18,$L$18,$C$2,$N$18,$Q17))-$O$18)*$C$8</f>
        <v>#VALUE!</v>
      </c>
      <c r="X17" s="7" t="e" cm="1">
        <f t="array" aca="1" ref="X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Y17" s="7" t="e" cm="1">
        <f t="array" aca="1" ref="Y17" ca="1">(_xlfn.SINGLE(SingleCoilTorque($F$20,$G$20,IF($I$20="",$H$20,INDEX(INDIRECT(_xlfn.CONCAT($I$20,"[Torque]")),MATCH(MIN(ABS(INDIRECT(_xlfn.CONCAT($I$20,"[RPM]"))-$R17*60/2/$C$6)),ABS(INDIRECT(_xlfn.CONCAT($I$20,"[RPM]"))-$R17*60/2/$C$6),0))*100),$J$20,$K$20,$L$20,$C$2,$N$20,$Q17))-$O$20)*$C$8</f>
        <v>#VALUE!</v>
      </c>
      <c r="Z17" s="7" t="e" cm="1">
        <f t="array" aca="1" ref="Z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A17" s="7" t="e" cm="1">
        <f t="array" aca="1" ref="AA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B17" s="7" t="e" cm="1">
        <f t="array" aca="1" ref="AB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C17" s="7" t="e" cm="1">
        <f t="array" aca="1" ref="AC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D17" s="7" t="e" cm="1">
        <f t="array" aca="1" ref="AD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E17" s="7" t="e" cm="1">
        <f t="array" aca="1" ref="AE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F17" s="7" t="e" cm="1">
        <f t="array" aca="1" ref="AF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G17" s="7" t="e" cm="1">
        <f t="array" aca="1" ref="AG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H17" s="7" t="e" cm="1">
        <f t="array" aca="1" ref="AH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I17" s="7" t="e" cm="1">
        <f t="array" aca="1" ref="AI17" ca="1">(_xlfn.SINGLE(SingleCoilTorque($F$19,$G$19,IF($I$19="",$H$19,INDEX(INDIRECT(_xlfn.CONCAT($I$19,"[Torque]")),MATCH(MIN(ABS(INDIRECT(_xlfn.CONCAT($I$19,"[RPM]"))-$R17*60/2/$C$6)),ABS(INDIRECT(_xlfn.CONCAT($I$19,"[RPM]"))-$R17*60/2/$C$6),0))*100),$J$19,$K$19,$L$19,$C$2,$N$19,$Q17))-$O$19)*$C$8</f>
        <v>#VALUE!</v>
      </c>
      <c r="AJ17" s="7">
        <f>$C$12</f>
        <v>23.8732414637843</v>
      </c>
      <c r="AL17">
        <f t="shared" si="2"/>
        <v>280</v>
      </c>
      <c r="AM17" s="7">
        <f>StepperPower($F$15,$G$15,$H$15,$J$15,$K$15,$L$15,$C$2,$N$15,$Q17)</f>
        <v>33.883168316831686</v>
      </c>
      <c r="AN17" s="7">
        <f>StepperPower($F$16,$G$16,$H$16,$J$16,$K$16,$L$16,$C$2,$N$16,$Q17)</f>
        <v>24.287376237623764</v>
      </c>
      <c r="AO17" s="7">
        <f>StepperPower($F$17,$G$17,$H$17,$J$17,$K$17,$L$17,$C$2,$N$17,$Q17)</f>
        <v>31.133168316831686</v>
      </c>
      <c r="AP17" s="7" t="e">
        <f>StepperPower($F$18,$G$18,$H$18,$J$18,$K$18,$L$18,$C$2,$N$18,$Q17)</f>
        <v>#VALUE!</v>
      </c>
      <c r="AQ17" s="7" t="e">
        <f>StepperPower($F$19,$G$19,$H$19,$J$19,$K$19,$L$19,$C$2,$N$19,$Q17)</f>
        <v>#VALUE!</v>
      </c>
      <c r="AR17" s="7" t="e">
        <f>StepperPower($F$20,$G$20,$H$20,$J$20,$K$20,$L$20,$C$2,$N$20,$Q17)</f>
        <v>#VALUE!</v>
      </c>
      <c r="AS17" s="7" t="e">
        <f>StepperPower($F$21,$G$21,$H$21,$J$21,$K$21,$L$21,$C$2,$N$21,$Q17)</f>
        <v>#VALUE!</v>
      </c>
      <c r="AT17" s="7" t="e">
        <f>StepperPower($F$22,$G$22,$H$22,$J$22,$K$22,$L$22,$C$2,$N$22,$Q17)</f>
        <v>#VALUE!</v>
      </c>
      <c r="AU17" s="7" t="e">
        <f>StepperPower($F$23,$G$23,$H$23,$J$23,$K$23,$L$23,$C$2,$N$23,$Q17)</f>
        <v>#VALUE!</v>
      </c>
      <c r="AV17" s="7" t="e">
        <f>StepperPower($F$24,$G$24,$H$24,$J$24,$K$24,$L$24,$C$2,$N$24,$Q17)</f>
        <v>#VALUE!</v>
      </c>
      <c r="AW17" s="7" t="e">
        <f>StepperPower($F$25,$G$25,$H$25,$J$25,$K$25,$L$25,$C$2,$N$25,$Q17)</f>
        <v>#VALUE!</v>
      </c>
      <c r="AX17" s="7" t="e">
        <f>StepperPower($F$26,$G$26,$H$26,$J$26,$K$26,$L$26,$C$2,$N$26,$Q17)</f>
        <v>#VALUE!</v>
      </c>
      <c r="AY17" s="7" t="e">
        <f>StepperPower($F$27,$G$27,$H$27,$J$27,$K$27,$L$27,$C$2,$N$27,$Q17)</f>
        <v>#VALUE!</v>
      </c>
      <c r="AZ17" s="7" t="e">
        <f>StepperPower($F$28,$G$28,$H$28,$J$28,$K$28,$L$28,$C$2,$N$28,$Q17)</f>
        <v>#VALUE!</v>
      </c>
      <c r="BA17" s="7" t="e">
        <f>StepperPower($F$29,$G$29,$H$29,$J$29,$K$29,$L$29,$C$2,$N$29,$Q17)</f>
        <v>#VALUE!</v>
      </c>
      <c r="BB17" s="7" t="e">
        <f>StepperPower($F$30,$G$30,$H$30,$J$30,$K$30,$L$30,$C$2,$N$30,$Q17)</f>
        <v>#VALUE!</v>
      </c>
      <c r="BC17" s="7"/>
    </row>
    <row r="18" spans="1:55" x14ac:dyDescent="0.25">
      <c r="A18" t="s">
        <v>46</v>
      </c>
      <c r="C18" s="1"/>
      <c r="D18" t="e">
        <f>VLOOKUP($C18,'Motor Database'!$A$3:$K$300,4,FALSE)</f>
        <v>#N/A</v>
      </c>
      <c r="E18" t="e">
        <f>VLOOKUP($C18,'Motor Database'!$A$3:$K$300,5,FALSE)</f>
        <v>#N/A</v>
      </c>
      <c r="F18" t="e">
        <f>VLOOKUP($C18,'Motor Database'!$A$3:$K$300,6,FALSE)</f>
        <v>#N/A</v>
      </c>
      <c r="G18" t="e">
        <f>VLOOKUP($C18,'Motor Database'!$A$3:$K$300,7,FALSE)</f>
        <v>#N/A</v>
      </c>
      <c r="H18" t="e">
        <f>VLOOKUP($C18,'Motor Database'!$A$3:$K$300,8,FALSE)</f>
        <v>#N/A</v>
      </c>
      <c r="I18" t="e">
        <f>IF(VLOOKUP($C18,'Motor Database'!$A$3:$L$300,12,FALSE)=0,"",VLOOKUP($C18,'Motor Database'!$A$3:$L$300,12,FALSE))</f>
        <v>#N/A</v>
      </c>
      <c r="J18" t="e">
        <f>VLOOKUP($C18,'Motor Database'!$A$3:$K$300,9,FALSE)</f>
        <v>#N/A</v>
      </c>
      <c r="K18" t="e">
        <f>VLOOKUP($C18,'Motor Database'!$A$3:$K$300,10,FALSE)</f>
        <v>#N/A</v>
      </c>
      <c r="L18" t="e">
        <f>VLOOKUP($C18,'Motor Database'!$A$3:$K$300,11,FALSE)</f>
        <v>#N/A</v>
      </c>
      <c r="M18" s="2" t="e">
        <f t="shared" si="4"/>
        <v>#N/A</v>
      </c>
      <c r="N18" s="2" t="e">
        <f>MIN($C$3,$C$4*$G18,$G18,M18)</f>
        <v>#N/A</v>
      </c>
      <c r="O18" s="2" t="e">
        <f>$C$10/($C$6*2)*2*PI()*(L18/(1000*100^2))*100</f>
        <v>#N/A</v>
      </c>
      <c r="P18" t="e">
        <f t="shared" si="5"/>
        <v>#N/A</v>
      </c>
      <c r="Q18">
        <f t="shared" si="3"/>
        <v>7.5</v>
      </c>
      <c r="R18">
        <f t="shared" si="1"/>
        <v>300</v>
      </c>
      <c r="T18" s="7" cm="1">
        <f t="array" aca="1" ref="T18" ca="1">(_xlfn.SINGLE(SingleCoilTorque($F$15,$G$15,IF($I$15="",$H$15,INDEX(INDIRECT(_xlfn.CONCAT($I$15,"[Torque]")),MATCH(MIN(ABS(INDIRECT(_xlfn.CONCAT($I$15,"[RPM]"))-$R18*60/2/$C$6)),ABS(INDIRECT(_xlfn.CONCAT($I$15,"[RPM]"))-$R18*60/2/$C$6),0))*100),$J$15,$K$15,$L$15,$C$2,$N$15,$Q18))-$O$15)*$C$8</f>
        <v>60.757533204594147</v>
      </c>
      <c r="U18" s="7" cm="1">
        <f t="array" aca="1" ref="U18" ca="1">(_xlfn.SINGLE(SingleCoilTorque($F$16,$G$16,IF($I$16="",$H$16,INDEX(INDIRECT(_xlfn.CONCAT($I$16,"[Torque]")),MATCH(MIN(ABS(INDIRECT(_xlfn.CONCAT($I$16,"[RPM]"))-$R18*60/2/$C$6)),ABS(INDIRECT(_xlfn.CONCAT($I$16,"[RPM]"))-$R18*60/2/$C$6),0))*100),$J$16,$K$16,$L$16,$C$2,$N$16,$Q18))-$O$16)*$C$8</f>
        <v>60.54202928213099</v>
      </c>
      <c r="V18" s="7" cm="1">
        <f t="array" aca="1" ref="V18" ca="1">(_xlfn.SINGLE(SingleCoilTorque($F$17,$G$17,IF($I$17="",$H$17,INDEX(INDIRECT(_xlfn.CONCAT($I$17,"[Torque]")),MATCH(MIN(ABS(INDIRECT(_xlfn.CONCAT($I$17,"[RPM]"))-$R18*60/2/$C$6)),ABS(INDIRECT(_xlfn.CONCAT($I$17,"[RPM]"))-$R18*60/2/$C$6),0))*100),$J$17,$K$17,$L$17,$C$2,$N$17,$Q18))-$O$17)*$C$8</f>
        <v>65.950683979084687</v>
      </c>
      <c r="W18" s="7" t="e" cm="1">
        <f t="array" aca="1" ref="W18" ca="1">(_xlfn.SINGLE(SingleCoilTorque($F$18,$G$18,IF($I$18="",$H$18,INDEX(INDIRECT(_xlfn.CONCAT($I$18,"[Torque]")),MATCH(MIN(ABS(INDIRECT(_xlfn.CONCAT($I$18,"[RPM]"))-$R18*60/2/$C$6)),ABS(INDIRECT(_xlfn.CONCAT($I$18,"[RPM]"))-$R18*60/2/$C$6),0))*100),$J$18,$K$18,$L$18,$C$2,$N$18,$Q18))-$O$18)*$C$8</f>
        <v>#VALUE!</v>
      </c>
      <c r="X18" s="7" t="e" cm="1">
        <f t="array" aca="1" ref="X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Y18" s="7" t="e" cm="1">
        <f t="array" aca="1" ref="Y18" ca="1">(_xlfn.SINGLE(SingleCoilTorque($F$20,$G$20,IF($I$20="",$H$20,INDEX(INDIRECT(_xlfn.CONCAT($I$20,"[Torque]")),MATCH(MIN(ABS(INDIRECT(_xlfn.CONCAT($I$20,"[RPM]"))-$R18*60/2/$C$6)),ABS(INDIRECT(_xlfn.CONCAT($I$20,"[RPM]"))-$R18*60/2/$C$6),0))*100),$J$20,$K$20,$L$20,$C$2,$N$20,$Q18))-$O$20)*$C$8</f>
        <v>#VALUE!</v>
      </c>
      <c r="Z18" s="7" t="e" cm="1">
        <f t="array" aca="1" ref="Z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A18" s="7" t="e" cm="1">
        <f t="array" aca="1" ref="AA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B18" s="7" t="e" cm="1">
        <f t="array" aca="1" ref="AB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C18" s="7" t="e" cm="1">
        <f t="array" aca="1" ref="AC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D18" s="7" t="e" cm="1">
        <f t="array" aca="1" ref="AD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E18" s="7" t="e" cm="1">
        <f t="array" aca="1" ref="AE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F18" s="7" t="e" cm="1">
        <f t="array" aca="1" ref="AF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G18" s="7" t="e" cm="1">
        <f t="array" aca="1" ref="AG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H18" s="7" t="e" cm="1">
        <f t="array" aca="1" ref="AH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I18" s="7" t="e" cm="1">
        <f t="array" aca="1" ref="AI18" ca="1">(_xlfn.SINGLE(SingleCoilTorque($F$19,$G$19,IF($I$19="",$H$19,INDEX(INDIRECT(_xlfn.CONCAT($I$19,"[Torque]")),MATCH(MIN(ABS(INDIRECT(_xlfn.CONCAT($I$19,"[RPM]"))-$R18*60/2/$C$6)),ABS(INDIRECT(_xlfn.CONCAT($I$19,"[RPM]"))-$R18*60/2/$C$6),0))*100),$J$19,$K$19,$L$19,$C$2,$N$19,$Q18))-$O$19)*$C$8</f>
        <v>#VALUE!</v>
      </c>
      <c r="AJ18" s="7">
        <f>$C$12</f>
        <v>23.8732414637843</v>
      </c>
      <c r="AL18">
        <f t="shared" si="2"/>
        <v>300</v>
      </c>
      <c r="AM18" s="7">
        <f>StepperPower($F$15,$G$15,$H$15,$J$15,$K$15,$L$15,$C$2,$N$15,$Q18)</f>
        <v>35.660537482319668</v>
      </c>
      <c r="AN18" s="7">
        <f>StepperPower($F$16,$G$16,$H$16,$J$16,$K$16,$L$16,$C$2,$N$16,$Q18)</f>
        <v>25.620403111739748</v>
      </c>
      <c r="AO18" s="7">
        <f>StepperPower($F$17,$G$17,$H$17,$J$17,$K$17,$L$17,$C$2,$N$17,$Q18)</f>
        <v>32.910537482319661</v>
      </c>
      <c r="AP18" s="7" t="e">
        <f>StepperPower($F$18,$G$18,$H$18,$J$18,$K$18,$L$18,$C$2,$N$18,$Q18)</f>
        <v>#VALUE!</v>
      </c>
      <c r="AQ18" s="7" t="e">
        <f>StepperPower($F$19,$G$19,$H$19,$J$19,$K$19,$L$19,$C$2,$N$19,$Q18)</f>
        <v>#VALUE!</v>
      </c>
      <c r="AR18" s="7" t="e">
        <f>StepperPower($F$20,$G$20,$H$20,$J$20,$K$20,$L$20,$C$2,$N$20,$Q18)</f>
        <v>#VALUE!</v>
      </c>
      <c r="AS18" s="7" t="e">
        <f>StepperPower($F$21,$G$21,$H$21,$J$21,$K$21,$L$21,$C$2,$N$21,$Q18)</f>
        <v>#VALUE!</v>
      </c>
      <c r="AT18" s="7" t="e">
        <f>StepperPower($F$22,$G$22,$H$22,$J$22,$K$22,$L$22,$C$2,$N$22,$Q18)</f>
        <v>#VALUE!</v>
      </c>
      <c r="AU18" s="7" t="e">
        <f>StepperPower($F$23,$G$23,$H$23,$J$23,$K$23,$L$23,$C$2,$N$23,$Q18)</f>
        <v>#VALUE!</v>
      </c>
      <c r="AV18" s="7" t="e">
        <f>StepperPower($F$24,$G$24,$H$24,$J$24,$K$24,$L$24,$C$2,$N$24,$Q18)</f>
        <v>#VALUE!</v>
      </c>
      <c r="AW18" s="7" t="e">
        <f>StepperPower($F$25,$G$25,$H$25,$J$25,$K$25,$L$25,$C$2,$N$25,$Q18)</f>
        <v>#VALUE!</v>
      </c>
      <c r="AX18" s="7" t="e">
        <f>StepperPower($F$26,$G$26,$H$26,$J$26,$K$26,$L$26,$C$2,$N$26,$Q18)</f>
        <v>#VALUE!</v>
      </c>
      <c r="AY18" s="7" t="e">
        <f>StepperPower($F$27,$G$27,$H$27,$J$27,$K$27,$L$27,$C$2,$N$27,$Q18)</f>
        <v>#VALUE!</v>
      </c>
      <c r="AZ18" s="7" t="e">
        <f>StepperPower($F$28,$G$28,$H$28,$J$28,$K$28,$L$28,$C$2,$N$28,$Q18)</f>
        <v>#VALUE!</v>
      </c>
      <c r="BA18" s="7" t="e">
        <f>StepperPower($F$29,$G$29,$H$29,$J$29,$K$29,$L$29,$C$2,$N$29,$Q18)</f>
        <v>#VALUE!</v>
      </c>
      <c r="BB18" s="7" t="e">
        <f>StepperPower($F$30,$G$30,$H$30,$J$30,$K$30,$L$30,$C$2,$N$30,$Q18)</f>
        <v>#VALUE!</v>
      </c>
      <c r="BC18" s="7"/>
    </row>
    <row r="19" spans="1:55" x14ac:dyDescent="0.25">
      <c r="A19" t="s">
        <v>47</v>
      </c>
      <c r="C19" s="1"/>
      <c r="D19" t="e">
        <f>VLOOKUP($C19,'Motor Database'!$A$3:$K$300,4,FALSE)</f>
        <v>#N/A</v>
      </c>
      <c r="E19" t="e">
        <f>VLOOKUP($C19,'Motor Database'!$A$3:$K$300,5,FALSE)</f>
        <v>#N/A</v>
      </c>
      <c r="F19" t="e">
        <f>VLOOKUP($C19,'Motor Database'!$A$3:$K$300,6,FALSE)</f>
        <v>#N/A</v>
      </c>
      <c r="G19" t="e">
        <f>VLOOKUP($C19,'Motor Database'!$A$3:$K$300,7,FALSE)</f>
        <v>#N/A</v>
      </c>
      <c r="H19" t="e">
        <f>VLOOKUP($C19,'Motor Database'!$A$3:$K$300,8,FALSE)</f>
        <v>#N/A</v>
      </c>
      <c r="I19" t="e">
        <f>IF(VLOOKUP($C19,'Motor Database'!$A$3:$L$300,12,FALSE)=0,"",VLOOKUP($C19,'Motor Database'!$A$3:$L$300,12,FALSE))</f>
        <v>#N/A</v>
      </c>
      <c r="J19" t="e">
        <f>VLOOKUP($C19,'Motor Database'!$A$3:$K$300,9,FALSE)</f>
        <v>#N/A</v>
      </c>
      <c r="K19" t="e">
        <f>VLOOKUP($C19,'Motor Database'!$A$3:$K$300,10,FALSE)</f>
        <v>#N/A</v>
      </c>
      <c r="L19" t="e">
        <f>VLOOKUP($C19,'Motor Database'!$A$3:$K$300,11,FALSE)</f>
        <v>#N/A</v>
      </c>
      <c r="M19" s="2" t="e">
        <f t="shared" si="4"/>
        <v>#N/A</v>
      </c>
      <c r="N19" s="2" t="e">
        <f>MIN($C$3,$C$4*$G19,$G19,M19)</f>
        <v>#N/A</v>
      </c>
      <c r="O19" s="2" t="e">
        <f>$C$10/($C$6*2)*2*PI()*(L19/(1000*100^2))*100</f>
        <v>#N/A</v>
      </c>
      <c r="P19" t="e">
        <f t="shared" si="5"/>
        <v>#N/A</v>
      </c>
      <c r="Q19">
        <f t="shared" si="3"/>
        <v>8</v>
      </c>
      <c r="R19">
        <f t="shared" si="1"/>
        <v>320</v>
      </c>
      <c r="T19" s="7" cm="1">
        <f t="array" aca="1" ref="T19" ca="1">(_xlfn.SINGLE(SingleCoilTorque($F$15,$G$15,IF($I$15="",$H$15,INDEX(INDIRECT(_xlfn.CONCAT($I$15,"[Torque]")),MATCH(MIN(ABS(INDIRECT(_xlfn.CONCAT($I$15,"[RPM]"))-$R19*60/2/$C$6)),ABS(INDIRECT(_xlfn.CONCAT($I$15,"[RPM]"))-$R19*60/2/$C$6),0))*100),$J$15,$K$15,$L$15,$C$2,$N$15,$Q19))-$O$15)*$C$8</f>
        <v>57.589216372910982</v>
      </c>
      <c r="U19" s="7" cm="1">
        <f t="array" aca="1" ref="U19" ca="1">(_xlfn.SINGLE(SingleCoilTorque($F$16,$G$16,IF($I$16="",$H$16,INDEX(INDIRECT(_xlfn.CONCAT($I$16,"[Torque]")),MATCH(MIN(ABS(INDIRECT(_xlfn.CONCAT($I$16,"[RPM]"))-$R19*60/2/$C$6)),ABS(INDIRECT(_xlfn.CONCAT($I$16,"[RPM]"))-$R19*60/2/$C$6),0))*100),$J$16,$K$16,$L$16,$C$2,$N$16,$Q19))-$O$16)*$C$8</f>
        <v>60.202566764450651</v>
      </c>
      <c r="V19" s="7" cm="1">
        <f t="array" aca="1" ref="V19" ca="1">(_xlfn.SINGLE(SingleCoilTorque($F$17,$G$17,IF($I$17="",$H$17,INDEX(INDIRECT(_xlfn.CONCAT($I$17,"[Torque]")),MATCH(MIN(ABS(INDIRECT(_xlfn.CONCAT($I$17,"[RPM]"))-$R19*60/2/$C$6)),ABS(INDIRECT(_xlfn.CONCAT($I$17,"[RPM]"))-$R19*60/2/$C$6),0))*100),$J$17,$K$17,$L$17,$C$2,$N$17,$Q19))-$O$17)*$C$8</f>
        <v>62.216596284600953</v>
      </c>
      <c r="W19" s="7" t="e" cm="1">
        <f t="array" aca="1" ref="W19" ca="1">(_xlfn.SINGLE(SingleCoilTorque($F$18,$G$18,IF($I$18="",$H$18,INDEX(INDIRECT(_xlfn.CONCAT($I$18,"[Torque]")),MATCH(MIN(ABS(INDIRECT(_xlfn.CONCAT($I$18,"[RPM]"))-$R19*60/2/$C$6)),ABS(INDIRECT(_xlfn.CONCAT($I$18,"[RPM]"))-$R19*60/2/$C$6),0))*100),$J$18,$K$18,$L$18,$C$2,$N$18,$Q19))-$O$18)*$C$8</f>
        <v>#VALUE!</v>
      </c>
      <c r="X19" s="7" t="e" cm="1">
        <f t="array" aca="1" ref="X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Y19" s="7" t="e" cm="1">
        <f t="array" aca="1" ref="Y19" ca="1">(_xlfn.SINGLE(SingleCoilTorque($F$20,$G$20,IF($I$20="",$H$20,INDEX(INDIRECT(_xlfn.CONCAT($I$20,"[Torque]")),MATCH(MIN(ABS(INDIRECT(_xlfn.CONCAT($I$20,"[RPM]"))-$R19*60/2/$C$6)),ABS(INDIRECT(_xlfn.CONCAT($I$20,"[RPM]"))-$R19*60/2/$C$6),0))*100),$J$20,$K$20,$L$20,$C$2,$N$20,$Q19))-$O$20)*$C$8</f>
        <v>#VALUE!</v>
      </c>
      <c r="Z19" s="7" t="e" cm="1">
        <f t="array" aca="1" ref="Z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A19" s="7" t="e" cm="1">
        <f t="array" aca="1" ref="AA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B19" s="7" t="e" cm="1">
        <f t="array" aca="1" ref="AB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C19" s="7" t="e" cm="1">
        <f t="array" aca="1" ref="AC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D19" s="7" t="e" cm="1">
        <f t="array" aca="1" ref="AD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E19" s="7" t="e" cm="1">
        <f t="array" aca="1" ref="AE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F19" s="7" t="e" cm="1">
        <f t="array" aca="1" ref="AF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G19" s="7" t="e" cm="1">
        <f t="array" aca="1" ref="AG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H19" s="7" t="e" cm="1">
        <f t="array" aca="1" ref="AH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I19" s="7" t="e" cm="1">
        <f t="array" aca="1" ref="AI19" ca="1">(_xlfn.SINGLE(SingleCoilTorque($F$19,$G$19,IF($I$19="",$H$19,INDEX(INDIRECT(_xlfn.CONCAT($I$19,"[Torque]")),MATCH(MIN(ABS(INDIRECT(_xlfn.CONCAT($I$19,"[RPM]"))-$R19*60/2/$C$6)),ABS(INDIRECT(_xlfn.CONCAT($I$19,"[RPM]"))-$R19*60/2/$C$6),0))*100),$J$19,$K$19,$L$19,$C$2,$N$19,$Q19))-$O$19)*$C$8</f>
        <v>#VALUE!</v>
      </c>
      <c r="AJ19" s="7">
        <f>$C$12</f>
        <v>23.8732414637843</v>
      </c>
      <c r="AL19">
        <f t="shared" si="2"/>
        <v>320</v>
      </c>
      <c r="AM19" s="7">
        <f>StepperPower($F$15,$G$15,$H$15,$J$15,$K$15,$L$15,$C$2,$N$15,$Q19)</f>
        <v>37.437906647807637</v>
      </c>
      <c r="AN19" s="7">
        <f>StepperPower($F$16,$G$16,$H$16,$J$16,$K$16,$L$16,$C$2,$N$16,$Q19)</f>
        <v>26.953429985855731</v>
      </c>
      <c r="AO19" s="7">
        <f>StepperPower($F$17,$G$17,$H$17,$J$17,$K$17,$L$17,$C$2,$N$17,$Q19)</f>
        <v>34.687906647807637</v>
      </c>
      <c r="AP19" s="7" t="e">
        <f>StepperPower($F$18,$G$18,$H$18,$J$18,$K$18,$L$18,$C$2,$N$18,$Q19)</f>
        <v>#VALUE!</v>
      </c>
      <c r="AQ19" s="7" t="e">
        <f>StepperPower($F$19,$G$19,$H$19,$J$19,$K$19,$L$19,$C$2,$N$19,$Q19)</f>
        <v>#VALUE!</v>
      </c>
      <c r="AR19" s="7" t="e">
        <f>StepperPower($F$20,$G$20,$H$20,$J$20,$K$20,$L$20,$C$2,$N$20,$Q19)</f>
        <v>#VALUE!</v>
      </c>
      <c r="AS19" s="7" t="e">
        <f>StepperPower($F$21,$G$21,$H$21,$J$21,$K$21,$L$21,$C$2,$N$21,$Q19)</f>
        <v>#VALUE!</v>
      </c>
      <c r="AT19" s="7" t="e">
        <f>StepperPower($F$22,$G$22,$H$22,$J$22,$K$22,$L$22,$C$2,$N$22,$Q19)</f>
        <v>#VALUE!</v>
      </c>
      <c r="AU19" s="7" t="e">
        <f>StepperPower($F$23,$G$23,$H$23,$J$23,$K$23,$L$23,$C$2,$N$23,$Q19)</f>
        <v>#VALUE!</v>
      </c>
      <c r="AV19" s="7" t="e">
        <f>StepperPower($F$24,$G$24,$H$24,$J$24,$K$24,$L$24,$C$2,$N$24,$Q19)</f>
        <v>#VALUE!</v>
      </c>
      <c r="AW19" s="7" t="e">
        <f>StepperPower($F$25,$G$25,$H$25,$J$25,$K$25,$L$25,$C$2,$N$25,$Q19)</f>
        <v>#VALUE!</v>
      </c>
      <c r="AX19" s="7" t="e">
        <f>StepperPower($F$26,$G$26,$H$26,$J$26,$K$26,$L$26,$C$2,$N$26,$Q19)</f>
        <v>#VALUE!</v>
      </c>
      <c r="AY19" s="7" t="e">
        <f>StepperPower($F$27,$G$27,$H$27,$J$27,$K$27,$L$27,$C$2,$N$27,$Q19)</f>
        <v>#VALUE!</v>
      </c>
      <c r="AZ19" s="7" t="e">
        <f>StepperPower($F$28,$G$28,$H$28,$J$28,$K$28,$L$28,$C$2,$N$28,$Q19)</f>
        <v>#VALUE!</v>
      </c>
      <c r="BA19" s="7" t="e">
        <f>StepperPower($F$29,$G$29,$H$29,$J$29,$K$29,$L$29,$C$2,$N$29,$Q19)</f>
        <v>#VALUE!</v>
      </c>
      <c r="BB19" s="7" t="e">
        <f>StepperPower($F$30,$G$30,$H$30,$J$30,$K$30,$L$30,$C$2,$N$30,$Q19)</f>
        <v>#VALUE!</v>
      </c>
      <c r="BC19" s="7"/>
    </row>
    <row r="20" spans="1:55" x14ac:dyDescent="0.25">
      <c r="A20" t="s">
        <v>48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IF(VLOOKUP($C20,'Motor Database'!$A$3:$L$300,12,FALSE)=0,"",VLOOKUP($C20,'Motor Database'!$A$3:$L$300,12,FALSE))</f>
        <v>#N/A</v>
      </c>
      <c r="J20" t="e">
        <f>VLOOKUP($C20,'Motor Database'!$A$3:$K$300,9,FALSE)</f>
        <v>#N/A</v>
      </c>
      <c r="K20" t="e">
        <f>VLOOKUP($C20,'Motor Database'!$A$3:$K$300,10,FALSE)</f>
        <v>#N/A</v>
      </c>
      <c r="L20" t="e">
        <f>VLOOKUP($C20,'Motor Database'!$A$3:$K$300,11,FALSE)</f>
        <v>#N/A</v>
      </c>
      <c r="M20" s="2" t="e">
        <f t="shared" si="4"/>
        <v>#N/A</v>
      </c>
      <c r="N20" s="2" t="e">
        <f>MIN($C$3,$C$4*$G20,$G20,M20)</f>
        <v>#N/A</v>
      </c>
      <c r="O20" s="2" t="e">
        <f>$C$10/($C$6*2)*2*PI()*(L20/(1000*100^2))*100</f>
        <v>#N/A</v>
      </c>
      <c r="P20" t="e">
        <f t="shared" si="5"/>
        <v>#N/A</v>
      </c>
      <c r="Q20">
        <f t="shared" si="3"/>
        <v>8.5</v>
      </c>
      <c r="R20">
        <f t="shared" si="1"/>
        <v>340</v>
      </c>
      <c r="T20" s="7" cm="1">
        <f t="array" aca="1" ref="T20" ca="1">(_xlfn.SINGLE(SingleCoilTorque($F$15,$G$15,IF($I$15="",$H$15,INDEX(INDIRECT(_xlfn.CONCAT($I$15,"[Torque]")),MATCH(MIN(ABS(INDIRECT(_xlfn.CONCAT($I$15,"[RPM]"))-$R20*60/2/$C$6)),ABS(INDIRECT(_xlfn.CONCAT($I$15,"[RPM]"))-$R20*60/2/$C$6),0))*100),$J$15,$K$15,$L$15,$C$2,$N$15,$Q20))-$O$15)*$C$8</f>
        <v>57.589216372910982</v>
      </c>
      <c r="U20" s="7" cm="1">
        <f t="array" aca="1" ref="U20" ca="1">(_xlfn.SINGLE(SingleCoilTorque($F$16,$G$16,IF($I$16="",$H$16,INDEX(INDIRECT(_xlfn.CONCAT($I$16,"[Torque]")),MATCH(MIN(ABS(INDIRECT(_xlfn.CONCAT($I$16,"[RPM]"))-$R20*60/2/$C$6)),ABS(INDIRECT(_xlfn.CONCAT($I$16,"[RPM]"))-$R20*60/2/$C$6),0))*100),$J$16,$K$16,$L$16,$C$2,$N$16,$Q20))-$O$16)*$C$8</f>
        <v>60.202566764450651</v>
      </c>
      <c r="V20" s="7" cm="1">
        <f t="array" aca="1" ref="V20" ca="1">(_xlfn.SINGLE(SingleCoilTorque($F$17,$G$17,IF($I$17="",$H$17,INDEX(INDIRECT(_xlfn.CONCAT($I$17,"[Torque]")),MATCH(MIN(ABS(INDIRECT(_xlfn.CONCAT($I$17,"[RPM]"))-$R20*60/2/$C$6)),ABS(INDIRECT(_xlfn.CONCAT($I$17,"[RPM]"))-$R20*60/2/$C$6),0))*100),$J$17,$K$17,$L$17,$C$2,$N$17,$Q20))-$O$17)*$C$8</f>
        <v>62.216596284600953</v>
      </c>
      <c r="W20" s="7" t="e" cm="1">
        <f t="array" aca="1" ref="W20" ca="1">(_xlfn.SINGLE(SingleCoilTorque($F$18,$G$18,IF($I$18="",$H$18,INDEX(INDIRECT(_xlfn.CONCAT($I$18,"[Torque]")),MATCH(MIN(ABS(INDIRECT(_xlfn.CONCAT($I$18,"[RPM]"))-$R20*60/2/$C$6)),ABS(INDIRECT(_xlfn.CONCAT($I$18,"[RPM]"))-$R20*60/2/$C$6),0))*100),$J$18,$K$18,$L$18,$C$2,$N$18,$Q20))-$O$18)*$C$8</f>
        <v>#VALUE!</v>
      </c>
      <c r="X20" s="7" t="e" cm="1">
        <f t="array" aca="1" ref="X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Y20" s="7" t="e" cm="1">
        <f t="array" aca="1" ref="Y20" ca="1">(_xlfn.SINGLE(SingleCoilTorque($F$20,$G$20,IF($I$20="",$H$20,INDEX(INDIRECT(_xlfn.CONCAT($I$20,"[Torque]")),MATCH(MIN(ABS(INDIRECT(_xlfn.CONCAT($I$20,"[RPM]"))-$R20*60/2/$C$6)),ABS(INDIRECT(_xlfn.CONCAT($I$20,"[RPM]"))-$R20*60/2/$C$6),0))*100),$J$20,$K$20,$L$20,$C$2,$N$20,$Q20))-$O$20)*$C$8</f>
        <v>#VALUE!</v>
      </c>
      <c r="Z20" s="7" t="e" cm="1">
        <f t="array" aca="1" ref="Z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A20" s="7" t="e" cm="1">
        <f t="array" aca="1" ref="AA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B20" s="7" t="e" cm="1">
        <f t="array" aca="1" ref="AB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C20" s="7" t="e" cm="1">
        <f t="array" aca="1" ref="AC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D20" s="7" t="e" cm="1">
        <f t="array" aca="1" ref="AD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E20" s="7" t="e" cm="1">
        <f t="array" aca="1" ref="AE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F20" s="7" t="e" cm="1">
        <f t="array" aca="1" ref="AF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G20" s="7" t="e" cm="1">
        <f t="array" aca="1" ref="AG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H20" s="7" t="e" cm="1">
        <f t="array" aca="1" ref="AH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I20" s="7" t="e" cm="1">
        <f t="array" aca="1" ref="AI20" ca="1">(_xlfn.SINGLE(SingleCoilTorque($F$19,$G$19,IF($I$19="",$H$19,INDEX(INDIRECT(_xlfn.CONCAT($I$19,"[Torque]")),MATCH(MIN(ABS(INDIRECT(_xlfn.CONCAT($I$19,"[RPM]"))-$R20*60/2/$C$6)),ABS(INDIRECT(_xlfn.CONCAT($I$19,"[RPM]"))-$R20*60/2/$C$6),0))*100),$J$19,$K$19,$L$19,$C$2,$N$19,$Q20))-$O$19)*$C$8</f>
        <v>#VALUE!</v>
      </c>
      <c r="AJ20" s="7">
        <f>$C$12</f>
        <v>23.8732414637843</v>
      </c>
      <c r="AL20">
        <f t="shared" si="2"/>
        <v>340</v>
      </c>
      <c r="AM20" s="7">
        <f>StepperPower($F$15,$G$15,$H$15,$J$15,$K$15,$L$15,$C$2,$N$15,$Q20)</f>
        <v>39.215275813295619</v>
      </c>
      <c r="AN20" s="7">
        <f>StepperPower($F$16,$G$16,$H$16,$J$16,$K$16,$L$16,$C$2,$N$16,$Q20)</f>
        <v>28.286456859971715</v>
      </c>
      <c r="AO20" s="7">
        <f>StepperPower($F$17,$G$17,$H$17,$J$17,$K$17,$L$17,$C$2,$N$17,$Q20)</f>
        <v>36.465275813295619</v>
      </c>
      <c r="AP20" s="7" t="e">
        <f>StepperPower($F$18,$G$18,$H$18,$J$18,$K$18,$L$18,$C$2,$N$18,$Q20)</f>
        <v>#VALUE!</v>
      </c>
      <c r="AQ20" s="7" t="e">
        <f>StepperPower($F$19,$G$19,$H$19,$J$19,$K$19,$L$19,$C$2,$N$19,$Q20)</f>
        <v>#VALUE!</v>
      </c>
      <c r="AR20" s="7" t="e">
        <f>StepperPower($F$20,$G$20,$H$20,$J$20,$K$20,$L$20,$C$2,$N$20,$Q20)</f>
        <v>#VALUE!</v>
      </c>
      <c r="AS20" s="7" t="e">
        <f>StepperPower($F$21,$G$21,$H$21,$J$21,$K$21,$L$21,$C$2,$N$21,$Q20)</f>
        <v>#VALUE!</v>
      </c>
      <c r="AT20" s="7" t="e">
        <f>StepperPower($F$22,$G$22,$H$22,$J$22,$K$22,$L$22,$C$2,$N$22,$Q20)</f>
        <v>#VALUE!</v>
      </c>
      <c r="AU20" s="7" t="e">
        <f>StepperPower($F$23,$G$23,$H$23,$J$23,$K$23,$L$23,$C$2,$N$23,$Q20)</f>
        <v>#VALUE!</v>
      </c>
      <c r="AV20" s="7" t="e">
        <f>StepperPower($F$24,$G$24,$H$24,$J$24,$K$24,$L$24,$C$2,$N$24,$Q20)</f>
        <v>#VALUE!</v>
      </c>
      <c r="AW20" s="7" t="e">
        <f>StepperPower($F$25,$G$25,$H$25,$J$25,$K$25,$L$25,$C$2,$N$25,$Q20)</f>
        <v>#VALUE!</v>
      </c>
      <c r="AX20" s="7" t="e">
        <f>StepperPower($F$26,$G$26,$H$26,$J$26,$K$26,$L$26,$C$2,$N$26,$Q20)</f>
        <v>#VALUE!</v>
      </c>
      <c r="AY20" s="7" t="e">
        <f>StepperPower($F$27,$G$27,$H$27,$J$27,$K$27,$L$27,$C$2,$N$27,$Q20)</f>
        <v>#VALUE!</v>
      </c>
      <c r="AZ20" s="7" t="e">
        <f>StepperPower($F$28,$G$28,$H$28,$J$28,$K$28,$L$28,$C$2,$N$28,$Q20)</f>
        <v>#VALUE!</v>
      </c>
      <c r="BA20" s="7" t="e">
        <f>StepperPower($F$29,$G$29,$H$29,$J$29,$K$29,$L$29,$C$2,$N$29,$Q20)</f>
        <v>#VALUE!</v>
      </c>
      <c r="BB20" s="7" t="e">
        <f>StepperPower($F$30,$G$30,$H$30,$J$30,$K$30,$L$30,$C$2,$N$30,$Q20)</f>
        <v>#VALUE!</v>
      </c>
      <c r="BC20" s="7"/>
    </row>
    <row r="21" spans="1:55" x14ac:dyDescent="0.25">
      <c r="A21" t="s">
        <v>49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IF(VLOOKUP($C21,'Motor Database'!$A$3:$L$300,12,FALSE)=0,"",VLOOKUP($C21,'Motor Database'!$A$3:$L$300,12,FALSE))</f>
        <v>#N/A</v>
      </c>
      <c r="J21" t="e">
        <f>VLOOKUP($C21,'Motor Database'!$A$3:$K$300,9,FALSE)</f>
        <v>#N/A</v>
      </c>
      <c r="K21" t="e">
        <f>VLOOKUP($C21,'Motor Database'!$A$3:$K$300,10,FALSE)</f>
        <v>#N/A</v>
      </c>
      <c r="L21" t="e">
        <f>VLOOKUP($C21,'Motor Database'!$A$3:$K$300,11,FALSE)</f>
        <v>#N/A</v>
      </c>
      <c r="M21" s="2" t="e">
        <f t="shared" si="4"/>
        <v>#N/A</v>
      </c>
      <c r="N21" s="2" t="e">
        <f>MIN($C$3,$C$4*$G21,$G21,M21)</f>
        <v>#N/A</v>
      </c>
      <c r="O21" s="2" t="e">
        <f>$C$10/($C$6*2)*2*PI()*(L21/(1000*100^2))*100</f>
        <v>#N/A</v>
      </c>
      <c r="P21" t="e">
        <f t="shared" si="5"/>
        <v>#N/A</v>
      </c>
      <c r="Q21">
        <f t="shared" si="3"/>
        <v>9</v>
      </c>
      <c r="R21">
        <f t="shared" si="1"/>
        <v>360</v>
      </c>
      <c r="T21" s="7" cm="1">
        <f t="array" aca="1" ref="T21" ca="1">(_xlfn.SINGLE(SingleCoilTorque($F$15,$G$15,IF($I$15="",$H$15,INDEX(INDIRECT(_xlfn.CONCAT($I$15,"[Torque]")),MATCH(MIN(ABS(INDIRECT(_xlfn.CONCAT($I$15,"[RPM]"))-$R21*60/2/$C$6)),ABS(INDIRECT(_xlfn.CONCAT($I$15,"[RPM]"))-$R21*60/2/$C$6),0))*100),$J$15,$K$15,$L$15,$C$2,$N$15,$Q21))-$O$15)*$C$8</f>
        <v>53.855128678427242</v>
      </c>
      <c r="U21" s="7" cm="1">
        <f t="array" aca="1" ref="U21" ca="1">(_xlfn.SINGLE(SingleCoilTorque($F$16,$G$16,IF($I$16="",$H$16,INDEX(INDIRECT(_xlfn.CONCAT($I$16,"[Torque]")),MATCH(MIN(ABS(INDIRECT(_xlfn.CONCAT($I$16,"[RPM]"))-$R21*60/2/$C$6)),ABS(INDIRECT(_xlfn.CONCAT($I$16,"[RPM]"))-$R21*60/2/$C$6),0))*100),$J$16,$K$16,$L$16,$C$2,$N$16,$Q21))-$O$16)*$C$8</f>
        <v>60.202566764450651</v>
      </c>
      <c r="V21" s="7" cm="1">
        <f t="array" aca="1" ref="V21" ca="1">(_xlfn.SINGLE(SingleCoilTorque($F$17,$G$17,IF($I$17="",$H$17,INDEX(INDIRECT(_xlfn.CONCAT($I$17,"[Torque]")),MATCH(MIN(ABS(INDIRECT(_xlfn.CONCAT($I$17,"[RPM]"))-$R21*60/2/$C$6)),ABS(INDIRECT(_xlfn.CONCAT($I$17,"[RPM]"))-$R21*60/2/$C$6),0))*100),$J$17,$K$17,$L$17,$C$2,$N$17,$Q21))-$O$17)*$C$8</f>
        <v>62.216596284600953</v>
      </c>
      <c r="W21" s="7" t="e" cm="1">
        <f t="array" aca="1" ref="W21" ca="1">(_xlfn.SINGLE(SingleCoilTorque($F$18,$G$18,IF($I$18="",$H$18,INDEX(INDIRECT(_xlfn.CONCAT($I$18,"[Torque]")),MATCH(MIN(ABS(INDIRECT(_xlfn.CONCAT($I$18,"[RPM]"))-$R21*60/2/$C$6)),ABS(INDIRECT(_xlfn.CONCAT($I$18,"[RPM]"))-$R21*60/2/$C$6),0))*100),$J$18,$K$18,$L$18,$C$2,$N$18,$Q21))-$O$18)*$C$8</f>
        <v>#VALUE!</v>
      </c>
      <c r="X21" s="7" t="e" cm="1">
        <f t="array" aca="1" ref="X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Y21" s="7" t="e" cm="1">
        <f t="array" aca="1" ref="Y21" ca="1">(_xlfn.SINGLE(SingleCoilTorque($F$20,$G$20,IF($I$20="",$H$20,INDEX(INDIRECT(_xlfn.CONCAT($I$20,"[Torque]")),MATCH(MIN(ABS(INDIRECT(_xlfn.CONCAT($I$20,"[RPM]"))-$R21*60/2/$C$6)),ABS(INDIRECT(_xlfn.CONCAT($I$20,"[RPM]"))-$R21*60/2/$C$6),0))*100),$J$20,$K$20,$L$20,$C$2,$N$20,$Q21))-$O$20)*$C$8</f>
        <v>#VALUE!</v>
      </c>
      <c r="Z21" s="7" t="e" cm="1">
        <f t="array" aca="1" ref="Z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A21" s="7" t="e" cm="1">
        <f t="array" aca="1" ref="AA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B21" s="7" t="e" cm="1">
        <f t="array" aca="1" ref="AB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C21" s="7" t="e" cm="1">
        <f t="array" aca="1" ref="AC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D21" s="7" t="e" cm="1">
        <f t="array" aca="1" ref="AD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E21" s="7" t="e" cm="1">
        <f t="array" aca="1" ref="AE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F21" s="7" t="e" cm="1">
        <f t="array" aca="1" ref="AF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G21" s="7" t="e" cm="1">
        <f t="array" aca="1" ref="AG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H21" s="7" t="e" cm="1">
        <f t="array" aca="1" ref="AH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I21" s="7" t="e" cm="1">
        <f t="array" aca="1" ref="AI21" ca="1">(_xlfn.SINGLE(SingleCoilTorque($F$19,$G$19,IF($I$19="",$H$19,INDEX(INDIRECT(_xlfn.CONCAT($I$19,"[Torque]")),MATCH(MIN(ABS(INDIRECT(_xlfn.CONCAT($I$19,"[RPM]"))-$R21*60/2/$C$6)),ABS(INDIRECT(_xlfn.CONCAT($I$19,"[RPM]"))-$R21*60/2/$C$6),0))*100),$J$19,$K$19,$L$19,$C$2,$N$19,$Q21))-$O$19)*$C$8</f>
        <v>#VALUE!</v>
      </c>
      <c r="AJ21" s="7">
        <f>$C$12</f>
        <v>23.8732414637843</v>
      </c>
      <c r="AL21">
        <f t="shared" si="2"/>
        <v>360</v>
      </c>
      <c r="AM21" s="7">
        <f>StepperPower($F$15,$G$15,$H$15,$J$15,$K$15,$L$15,$C$2,$N$15,$Q21)</f>
        <v>40.992644978783595</v>
      </c>
      <c r="AN21" s="7">
        <f>StepperPower($F$16,$G$16,$H$16,$J$16,$K$16,$L$16,$C$2,$N$16,$Q21)</f>
        <v>29.619483734087698</v>
      </c>
      <c r="AO21" s="7">
        <f>StepperPower($F$17,$G$17,$H$17,$J$17,$K$17,$L$17,$C$2,$N$17,$Q21)</f>
        <v>38.242644978783595</v>
      </c>
      <c r="AP21" s="7" t="e">
        <f>StepperPower($F$18,$G$18,$H$18,$J$18,$K$18,$L$18,$C$2,$N$18,$Q21)</f>
        <v>#VALUE!</v>
      </c>
      <c r="AQ21" s="7" t="e">
        <f>StepperPower($F$19,$G$19,$H$19,$J$19,$K$19,$L$19,$C$2,$N$19,$Q21)</f>
        <v>#VALUE!</v>
      </c>
      <c r="AR21" s="7" t="e">
        <f>StepperPower($F$20,$G$20,$H$20,$J$20,$K$20,$L$20,$C$2,$N$20,$Q21)</f>
        <v>#VALUE!</v>
      </c>
      <c r="AS21" s="7" t="e">
        <f>StepperPower($F$21,$G$21,$H$21,$J$21,$K$21,$L$21,$C$2,$N$21,$Q21)</f>
        <v>#VALUE!</v>
      </c>
      <c r="AT21" s="7" t="e">
        <f>StepperPower($F$22,$G$22,$H$22,$J$22,$K$22,$L$22,$C$2,$N$22,$Q21)</f>
        <v>#VALUE!</v>
      </c>
      <c r="AU21" s="7" t="e">
        <f>StepperPower($F$23,$G$23,$H$23,$J$23,$K$23,$L$23,$C$2,$N$23,$Q21)</f>
        <v>#VALUE!</v>
      </c>
      <c r="AV21" s="7" t="e">
        <f>StepperPower($F$24,$G$24,$H$24,$J$24,$K$24,$L$24,$C$2,$N$24,$Q21)</f>
        <v>#VALUE!</v>
      </c>
      <c r="AW21" s="7" t="e">
        <f>StepperPower($F$25,$G$25,$H$25,$J$25,$K$25,$L$25,$C$2,$N$25,$Q21)</f>
        <v>#VALUE!</v>
      </c>
      <c r="AX21" s="7" t="e">
        <f>StepperPower($F$26,$G$26,$H$26,$J$26,$K$26,$L$26,$C$2,$N$26,$Q21)</f>
        <v>#VALUE!</v>
      </c>
      <c r="AY21" s="7" t="e">
        <f>StepperPower($F$27,$G$27,$H$27,$J$27,$K$27,$L$27,$C$2,$N$27,$Q21)</f>
        <v>#VALUE!</v>
      </c>
      <c r="AZ21" s="7" t="e">
        <f>StepperPower($F$28,$G$28,$H$28,$J$28,$K$28,$L$28,$C$2,$N$28,$Q21)</f>
        <v>#VALUE!</v>
      </c>
      <c r="BA21" s="7" t="e">
        <f>StepperPower($F$29,$G$29,$H$29,$J$29,$K$29,$L$29,$C$2,$N$29,$Q21)</f>
        <v>#VALUE!</v>
      </c>
      <c r="BB21" s="7" t="e">
        <f>StepperPower($F$30,$G$30,$H$30,$J$30,$K$30,$L$30,$C$2,$N$30,$Q21)</f>
        <v>#VALUE!</v>
      </c>
      <c r="BC21" s="7"/>
    </row>
    <row r="22" spans="1:55" x14ac:dyDescent="0.25">
      <c r="A22" t="s">
        <v>50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IF(VLOOKUP($C22,'Motor Database'!$A$3:$L$300,12,FALSE)=0,"",VLOOKUP($C22,'Motor Database'!$A$3:$L$300,12,FALSE))</f>
        <v>#N/A</v>
      </c>
      <c r="J22" t="e">
        <f>VLOOKUP($C22,'Motor Database'!$A$3:$K$300,9,FALSE)</f>
        <v>#N/A</v>
      </c>
      <c r="K22" t="e">
        <f>VLOOKUP($C22,'Motor Database'!$A$3:$K$300,10,FALSE)</f>
        <v>#N/A</v>
      </c>
      <c r="L22" t="e">
        <f>VLOOKUP($C22,'Motor Database'!$A$3:$K$300,11,FALSE)</f>
        <v>#N/A</v>
      </c>
      <c r="M22" s="2" t="e">
        <f t="shared" si="4"/>
        <v>#N/A</v>
      </c>
      <c r="N22" s="2" t="e">
        <f>MIN($C$3,$C$4*$G22,$G22,M22)</f>
        <v>#N/A</v>
      </c>
      <c r="O22" s="2" t="e">
        <f>$C$10/($C$6*2)*2*PI()*(L22/(1000*100^2))*100</f>
        <v>#N/A</v>
      </c>
      <c r="Q22">
        <f t="shared" si="3"/>
        <v>9.5</v>
      </c>
      <c r="R22">
        <f t="shared" si="1"/>
        <v>380</v>
      </c>
      <c r="T22" s="7" cm="1">
        <f t="array" aca="1" ref="T22" ca="1">(_xlfn.SINGLE(SingleCoilTorque($F$15,$G$15,IF($I$15="",$H$15,INDEX(INDIRECT(_xlfn.CONCAT($I$15,"[Torque]")),MATCH(MIN(ABS(INDIRECT(_xlfn.CONCAT($I$15,"[RPM]"))-$R22*60/2/$C$6)),ABS(INDIRECT(_xlfn.CONCAT($I$15,"[RPM]"))-$R22*60/2/$C$6),0))*100),$J$15,$K$15,$L$15,$C$2,$N$15,$Q22))-$O$15)*$C$8</f>
        <v>53.855128678427242</v>
      </c>
      <c r="U22" s="7" cm="1">
        <f t="array" aca="1" ref="U22" ca="1">(_xlfn.SINGLE(SingleCoilTorque($F$16,$G$16,IF($I$16="",$H$16,INDEX(INDIRECT(_xlfn.CONCAT($I$16,"[Torque]")),MATCH(MIN(ABS(INDIRECT(_xlfn.CONCAT($I$16,"[RPM]"))-$R22*60/2/$C$6)),ABS(INDIRECT(_xlfn.CONCAT($I$16,"[RPM]"))-$R22*60/2/$C$6),0))*100),$J$16,$K$16,$L$16,$C$2,$N$16,$Q22))-$O$16)*$C$8</f>
        <v>57.713174968128151</v>
      </c>
      <c r="V22" s="7" cm="1">
        <f t="array" aca="1" ref="V22" ca="1">(_xlfn.SINGLE(SingleCoilTorque($F$17,$G$17,IF($I$17="",$H$17,INDEX(INDIRECT(_xlfn.CONCAT($I$17,"[Torque]")),MATCH(MIN(ABS(INDIRECT(_xlfn.CONCAT($I$17,"[RPM]"))-$R22*60/2/$C$6)),ABS(INDIRECT(_xlfn.CONCAT($I$17,"[RPM]"))-$R22*60/2/$C$6),0))*100),$J$17,$K$17,$L$17,$C$2,$N$17,$Q22))-$O$17)*$C$8</f>
        <v>56.332579311475072</v>
      </c>
      <c r="W22" s="7" t="e" cm="1">
        <f t="array" aca="1" ref="W22" ca="1">(_xlfn.SINGLE(SingleCoilTorque($F$18,$G$18,IF($I$18="",$H$18,INDEX(INDIRECT(_xlfn.CONCAT($I$18,"[Torque]")),MATCH(MIN(ABS(INDIRECT(_xlfn.CONCAT($I$18,"[RPM]"))-$R22*60/2/$C$6)),ABS(INDIRECT(_xlfn.CONCAT($I$18,"[RPM]"))-$R22*60/2/$C$6),0))*100),$J$18,$K$18,$L$18,$C$2,$N$18,$Q22))-$O$18)*$C$8</f>
        <v>#VALUE!</v>
      </c>
      <c r="X22" s="7" t="e" cm="1">
        <f t="array" aca="1" ref="X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Y22" s="7" t="e" cm="1">
        <f t="array" aca="1" ref="Y22" ca="1">(_xlfn.SINGLE(SingleCoilTorque($F$20,$G$20,IF($I$20="",$H$20,INDEX(INDIRECT(_xlfn.CONCAT($I$20,"[Torque]")),MATCH(MIN(ABS(INDIRECT(_xlfn.CONCAT($I$20,"[RPM]"))-$R22*60/2/$C$6)),ABS(INDIRECT(_xlfn.CONCAT($I$20,"[RPM]"))-$R22*60/2/$C$6),0))*100),$J$20,$K$20,$L$20,$C$2,$N$20,$Q22))-$O$20)*$C$8</f>
        <v>#VALUE!</v>
      </c>
      <c r="Z22" s="7" t="e" cm="1">
        <f t="array" aca="1" ref="Z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A22" s="7" t="e" cm="1">
        <f t="array" aca="1" ref="AA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B22" s="7" t="e" cm="1">
        <f t="array" aca="1" ref="AB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C22" s="7" t="e" cm="1">
        <f t="array" aca="1" ref="AC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D22" s="7" t="e" cm="1">
        <f t="array" aca="1" ref="AD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E22" s="7" t="e" cm="1">
        <f t="array" aca="1" ref="AE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F22" s="7" t="e" cm="1">
        <f t="array" aca="1" ref="AF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G22" s="7" t="e" cm="1">
        <f t="array" aca="1" ref="AG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H22" s="7" t="e" cm="1">
        <f t="array" aca="1" ref="AH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I22" s="7" t="e" cm="1">
        <f t="array" aca="1" ref="AI22" ca="1">(_xlfn.SINGLE(SingleCoilTorque($F$19,$G$19,IF($I$19="",$H$19,INDEX(INDIRECT(_xlfn.CONCAT($I$19,"[Torque]")),MATCH(MIN(ABS(INDIRECT(_xlfn.CONCAT($I$19,"[RPM]"))-$R22*60/2/$C$6)),ABS(INDIRECT(_xlfn.CONCAT($I$19,"[RPM]"))-$R22*60/2/$C$6),0))*100),$J$19,$K$19,$L$19,$C$2,$N$19,$Q22))-$O$19)*$C$8</f>
        <v>#VALUE!</v>
      </c>
      <c r="AJ22" s="7">
        <f>$C$12</f>
        <v>23.8732414637843</v>
      </c>
      <c r="AL22">
        <f t="shared" si="2"/>
        <v>380</v>
      </c>
      <c r="AM22" s="7">
        <f>StepperPower($F$15,$G$15,$H$15,$J$15,$K$15,$L$15,$C$2,$N$15,$Q22)</f>
        <v>42.770014144271578</v>
      </c>
      <c r="AN22" s="7">
        <f>StepperPower($F$16,$G$16,$H$16,$J$16,$K$16,$L$16,$C$2,$N$16,$Q22)</f>
        <v>30.952510608203681</v>
      </c>
      <c r="AO22" s="7">
        <f>StepperPower($F$17,$G$17,$H$17,$J$17,$K$17,$L$17,$C$2,$N$17,$Q22)</f>
        <v>40.02001414427157</v>
      </c>
      <c r="AP22" s="7" t="e">
        <f>StepperPower($F$18,$G$18,$H$18,$J$18,$K$18,$L$18,$C$2,$N$18,$Q22)</f>
        <v>#VALUE!</v>
      </c>
      <c r="AQ22" s="7" t="e">
        <f>StepperPower($F$19,$G$19,$H$19,$J$19,$K$19,$L$19,$C$2,$N$19,$Q22)</f>
        <v>#VALUE!</v>
      </c>
      <c r="AR22" s="7" t="e">
        <f>StepperPower($F$20,$G$20,$H$20,$J$20,$K$20,$L$20,$C$2,$N$20,$Q22)</f>
        <v>#VALUE!</v>
      </c>
      <c r="AS22" s="7" t="e">
        <f>StepperPower($F$21,$G$21,$H$21,$J$21,$K$21,$L$21,$C$2,$N$21,$Q22)</f>
        <v>#VALUE!</v>
      </c>
      <c r="AT22" s="7" t="e">
        <f>StepperPower($F$22,$G$22,$H$22,$J$22,$K$22,$L$22,$C$2,$N$22,$Q22)</f>
        <v>#VALUE!</v>
      </c>
      <c r="AU22" s="7" t="e">
        <f>StepperPower($F$23,$G$23,$H$23,$J$23,$K$23,$L$23,$C$2,$N$23,$Q22)</f>
        <v>#VALUE!</v>
      </c>
      <c r="AV22" s="7" t="e">
        <f>StepperPower($F$24,$G$24,$H$24,$J$24,$K$24,$L$24,$C$2,$N$24,$Q22)</f>
        <v>#VALUE!</v>
      </c>
      <c r="AW22" s="7" t="e">
        <f>StepperPower($F$25,$G$25,$H$25,$J$25,$K$25,$L$25,$C$2,$N$25,$Q22)</f>
        <v>#VALUE!</v>
      </c>
      <c r="AX22" s="7" t="e">
        <f>StepperPower($F$26,$G$26,$H$26,$J$26,$K$26,$L$26,$C$2,$N$26,$Q22)</f>
        <v>#VALUE!</v>
      </c>
      <c r="AY22" s="7" t="e">
        <f>StepperPower($F$27,$G$27,$H$27,$J$27,$K$27,$L$27,$C$2,$N$27,$Q22)</f>
        <v>#VALUE!</v>
      </c>
      <c r="AZ22" s="7" t="e">
        <f>StepperPower($F$28,$G$28,$H$28,$J$28,$K$28,$L$28,$C$2,$N$28,$Q22)</f>
        <v>#VALUE!</v>
      </c>
      <c r="BA22" s="7" t="e">
        <f>StepperPower($F$29,$G$29,$H$29,$J$29,$K$29,$L$29,$C$2,$N$29,$Q22)</f>
        <v>#VALUE!</v>
      </c>
      <c r="BB22" s="7" t="e">
        <f>StepperPower($F$30,$G$30,$H$30,$J$30,$K$30,$L$30,$C$2,$N$30,$Q22)</f>
        <v>#VALUE!</v>
      </c>
      <c r="BC22" s="7"/>
    </row>
    <row r="23" spans="1:55" x14ac:dyDescent="0.25">
      <c r="A23" t="s">
        <v>51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IF(VLOOKUP($C23,'Motor Database'!$A$3:$L$300,12,FALSE)=0,"",VLOOKUP($C23,'Motor Database'!$A$3:$L$300,12,FALSE))</f>
        <v>#N/A</v>
      </c>
      <c r="J23" t="e">
        <f>VLOOKUP($C23,'Motor Database'!$A$3:$K$300,9,FALSE)</f>
        <v>#N/A</v>
      </c>
      <c r="K23" t="e">
        <f>VLOOKUP($C23,'Motor Database'!$A$3:$K$300,10,FALSE)</f>
        <v>#N/A</v>
      </c>
      <c r="L23" t="e">
        <f>VLOOKUP($C23,'Motor Database'!$A$3:$K$300,11,FALSE)</f>
        <v>#N/A</v>
      </c>
      <c r="M23" s="2" t="e">
        <f t="shared" si="4"/>
        <v>#N/A</v>
      </c>
      <c r="N23" s="2" t="e">
        <f>MIN($C$3,$C$4*$G23,$G23,M23)</f>
        <v>#N/A</v>
      </c>
      <c r="O23" s="2" t="e">
        <f>$C$10/($C$6*2)*2*PI()*(L23/(1000*100^2))*100</f>
        <v>#N/A</v>
      </c>
      <c r="Q23">
        <f t="shared" si="3"/>
        <v>10</v>
      </c>
      <c r="R23">
        <f t="shared" si="1"/>
        <v>400</v>
      </c>
      <c r="T23" s="7" cm="1">
        <f t="array" aca="1" ref="T23" ca="1">(_xlfn.SINGLE(SingleCoilTorque($F$15,$G$15,IF($I$15="",$H$15,INDEX(INDIRECT(_xlfn.CONCAT($I$15,"[Torque]")),MATCH(MIN(ABS(INDIRECT(_xlfn.CONCAT($I$15,"[RPM]"))-$R23*60/2/$C$6)),ABS(INDIRECT(_xlfn.CONCAT($I$15,"[RPM]"))-$R23*60/2/$C$6),0))*100),$J$15,$K$15,$L$15,$C$2,$N$15,$Q23))-$O$15)*$C$8</f>
        <v>49.555270121142954</v>
      </c>
      <c r="U23" s="7" cm="1">
        <f t="array" aca="1" ref="U23" ca="1">(_xlfn.SINGLE(SingleCoilTorque($F$16,$G$16,IF($I$16="",$H$16,INDEX(INDIRECT(_xlfn.CONCAT($I$16,"[Torque]")),MATCH(MIN(ABS(INDIRECT(_xlfn.CONCAT($I$16,"[RPM]"))-$R23*60/2/$C$6)),ABS(INDIRECT(_xlfn.CONCAT($I$16,"[RPM]"))-$R23*60/2/$C$6),0))*100),$J$16,$K$16,$L$16,$C$2,$N$16,$Q23))-$O$16)*$C$8</f>
        <v>57.713174968128151</v>
      </c>
      <c r="V23" s="7" cm="1">
        <f t="array" aca="1" ref="V23" ca="1">(_xlfn.SINGLE(SingleCoilTorque($F$17,$G$17,IF($I$17="",$H$17,INDEX(INDIRECT(_xlfn.CONCAT($I$17,"[Torque]")),MATCH(MIN(ABS(INDIRECT(_xlfn.CONCAT($I$17,"[RPM]"))-$R23*60/2/$C$6)),ABS(INDIRECT(_xlfn.CONCAT($I$17,"[RPM]"))-$R23*60/2/$C$6),0))*100),$J$17,$K$17,$L$17,$C$2,$N$17,$Q23))-$O$17)*$C$8</f>
        <v>56.332579311475072</v>
      </c>
      <c r="W23" s="7" t="e" cm="1">
        <f t="array" aca="1" ref="W23" ca="1">(_xlfn.SINGLE(SingleCoilTorque($F$18,$G$18,IF($I$18="",$H$18,INDEX(INDIRECT(_xlfn.CONCAT($I$18,"[Torque]")),MATCH(MIN(ABS(INDIRECT(_xlfn.CONCAT($I$18,"[RPM]"))-$R23*60/2/$C$6)),ABS(INDIRECT(_xlfn.CONCAT($I$18,"[RPM]"))-$R23*60/2/$C$6),0))*100),$J$18,$K$18,$L$18,$C$2,$N$18,$Q23))-$O$18)*$C$8</f>
        <v>#VALUE!</v>
      </c>
      <c r="X23" s="7" t="e" cm="1">
        <f t="array" aca="1" ref="X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Y23" s="7" t="e" cm="1">
        <f t="array" aca="1" ref="Y23" ca="1">(_xlfn.SINGLE(SingleCoilTorque($F$20,$G$20,IF($I$20="",$H$20,INDEX(INDIRECT(_xlfn.CONCAT($I$20,"[Torque]")),MATCH(MIN(ABS(INDIRECT(_xlfn.CONCAT($I$20,"[RPM]"))-$R23*60/2/$C$6)),ABS(INDIRECT(_xlfn.CONCAT($I$20,"[RPM]"))-$R23*60/2/$C$6),0))*100),$J$20,$K$20,$L$20,$C$2,$N$20,$Q23))-$O$20)*$C$8</f>
        <v>#VALUE!</v>
      </c>
      <c r="Z23" s="7" t="e" cm="1">
        <f t="array" aca="1" ref="Z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A23" s="7" t="e" cm="1">
        <f t="array" aca="1" ref="AA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B23" s="7" t="e" cm="1">
        <f t="array" aca="1" ref="AB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C23" s="7" t="e" cm="1">
        <f t="array" aca="1" ref="AC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D23" s="7" t="e" cm="1">
        <f t="array" aca="1" ref="AD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E23" s="7" t="e" cm="1">
        <f t="array" aca="1" ref="AE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F23" s="7" t="e" cm="1">
        <f t="array" aca="1" ref="AF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G23" s="7" t="e" cm="1">
        <f t="array" aca="1" ref="AG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H23" s="7" t="e" cm="1">
        <f t="array" aca="1" ref="AH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I23" s="7" t="e" cm="1">
        <f t="array" aca="1" ref="AI23" ca="1">(_xlfn.SINGLE(SingleCoilTorque($F$19,$G$19,IF($I$19="",$H$19,INDEX(INDIRECT(_xlfn.CONCAT($I$19,"[Torque]")),MATCH(MIN(ABS(INDIRECT(_xlfn.CONCAT($I$19,"[RPM]"))-$R23*60/2/$C$6)),ABS(INDIRECT(_xlfn.CONCAT($I$19,"[RPM]"))-$R23*60/2/$C$6),0))*100),$J$19,$K$19,$L$19,$C$2,$N$19,$Q23))-$O$19)*$C$8</f>
        <v>#VALUE!</v>
      </c>
      <c r="AJ23" s="7">
        <f>$C$12</f>
        <v>23.8732414637843</v>
      </c>
      <c r="AL23">
        <f t="shared" si="2"/>
        <v>400</v>
      </c>
      <c r="AM23" s="7">
        <f>StepperPower($F$15,$G$15,$H$15,$J$15,$K$15,$L$15,$C$2,$N$15,$Q23)</f>
        <v>44.547383309759553</v>
      </c>
      <c r="AN23" s="7">
        <f>StepperPower($F$16,$G$16,$H$16,$J$16,$K$16,$L$16,$C$2,$N$16,$Q23)</f>
        <v>32.285537482319661</v>
      </c>
      <c r="AO23" s="7">
        <f>StepperPower($F$17,$G$17,$H$17,$J$17,$K$17,$L$17,$C$2,$N$17,$Q23)</f>
        <v>41.797383309759546</v>
      </c>
      <c r="AP23" s="7" t="e">
        <f>StepperPower($F$18,$G$18,$H$18,$J$18,$K$18,$L$18,$C$2,$N$18,$Q23)</f>
        <v>#VALUE!</v>
      </c>
      <c r="AQ23" s="7" t="e">
        <f>StepperPower($F$19,$G$19,$H$19,$J$19,$K$19,$L$19,$C$2,$N$19,$Q23)</f>
        <v>#VALUE!</v>
      </c>
      <c r="AR23" s="7" t="e">
        <f>StepperPower($F$20,$G$20,$H$20,$J$20,$K$20,$L$20,$C$2,$N$20,$Q23)</f>
        <v>#VALUE!</v>
      </c>
      <c r="AS23" s="7" t="e">
        <f>StepperPower($F$21,$G$21,$H$21,$J$21,$K$21,$L$21,$C$2,$N$21,$Q23)</f>
        <v>#VALUE!</v>
      </c>
      <c r="AT23" s="7" t="e">
        <f>StepperPower($F$22,$G$22,$H$22,$J$22,$K$22,$L$22,$C$2,$N$22,$Q23)</f>
        <v>#VALUE!</v>
      </c>
      <c r="AU23" s="7" t="e">
        <f>StepperPower($F$23,$G$23,$H$23,$J$23,$K$23,$L$23,$C$2,$N$23,$Q23)</f>
        <v>#VALUE!</v>
      </c>
      <c r="AV23" s="7" t="e">
        <f>StepperPower($F$24,$G$24,$H$24,$J$24,$K$24,$L$24,$C$2,$N$24,$Q23)</f>
        <v>#VALUE!</v>
      </c>
      <c r="AW23" s="7" t="e">
        <f>StepperPower($F$25,$G$25,$H$25,$J$25,$K$25,$L$25,$C$2,$N$25,$Q23)</f>
        <v>#VALUE!</v>
      </c>
      <c r="AX23" s="7" t="e">
        <f>StepperPower($F$26,$G$26,$H$26,$J$26,$K$26,$L$26,$C$2,$N$26,$Q23)</f>
        <v>#VALUE!</v>
      </c>
      <c r="AY23" s="7" t="e">
        <f>StepperPower($F$27,$G$27,$H$27,$J$27,$K$27,$L$27,$C$2,$N$27,$Q23)</f>
        <v>#VALUE!</v>
      </c>
      <c r="AZ23" s="7" t="e">
        <f>StepperPower($F$28,$G$28,$H$28,$J$28,$K$28,$L$28,$C$2,$N$28,$Q23)</f>
        <v>#VALUE!</v>
      </c>
      <c r="BA23" s="7" t="e">
        <f>StepperPower($F$29,$G$29,$H$29,$J$29,$K$29,$L$29,$C$2,$N$29,$Q23)</f>
        <v>#VALUE!</v>
      </c>
      <c r="BB23" s="7" t="e">
        <f>StepperPower($F$30,$G$30,$H$30,$J$30,$K$30,$L$30,$C$2,$N$30,$Q23)</f>
        <v>#VALUE!</v>
      </c>
      <c r="BC23" s="7"/>
    </row>
    <row r="24" spans="1:55" x14ac:dyDescent="0.25">
      <c r="A24" t="s">
        <v>52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IF(VLOOKUP($C24,'Motor Database'!$A$3:$L$300,12,FALSE)=0,"",VLOOKUP($C24,'Motor Database'!$A$3:$L$300,12,FALSE))</f>
        <v>#N/A</v>
      </c>
      <c r="J24" t="e">
        <f>VLOOKUP($C24,'Motor Database'!$A$3:$K$300,9,FALSE)</f>
        <v>#N/A</v>
      </c>
      <c r="K24" t="e">
        <f>VLOOKUP($C24,'Motor Database'!$A$3:$K$300,10,FALSE)</f>
        <v>#N/A</v>
      </c>
      <c r="L24" t="e">
        <f>VLOOKUP($C24,'Motor Database'!$A$3:$K$300,11,FALSE)</f>
        <v>#N/A</v>
      </c>
      <c r="M24" s="2" t="e">
        <f t="shared" si="4"/>
        <v>#N/A</v>
      </c>
      <c r="N24" s="2" t="e">
        <f>MIN($C$3,$C$4*$G24,$G24,M24)</f>
        <v>#N/A</v>
      </c>
      <c r="O24" s="2" t="e">
        <f>$C$10/($C$6*2)*2*PI()*(L24/(1000*100^2))*100</f>
        <v>#N/A</v>
      </c>
      <c r="Q24">
        <f t="shared" si="3"/>
        <v>10.5</v>
      </c>
      <c r="R24">
        <f t="shared" si="1"/>
        <v>420</v>
      </c>
      <c r="T24" s="7" cm="1">
        <f t="array" aca="1" ref="T24" ca="1">(_xlfn.SINGLE(SingleCoilTorque($F$15,$G$15,IF($I$15="",$H$15,INDEX(INDIRECT(_xlfn.CONCAT($I$15,"[Torque]")),MATCH(MIN(ABS(INDIRECT(_xlfn.CONCAT($I$15,"[RPM]"))-$R24*60/2/$C$6)),ABS(INDIRECT(_xlfn.CONCAT($I$15,"[RPM]"))-$R24*60/2/$C$6),0))*100),$J$15,$K$15,$L$15,$C$2,$N$15,$Q24))-$O$15)*$C$8</f>
        <v>49.555270121142954</v>
      </c>
      <c r="U24" s="7" cm="1">
        <f t="array" aca="1" ref="U24" ca="1">(_xlfn.SINGLE(SingleCoilTorque($F$16,$G$16,IF($I$16="",$H$16,INDEX(INDIRECT(_xlfn.CONCAT($I$16,"[Torque]")),MATCH(MIN(ABS(INDIRECT(_xlfn.CONCAT($I$16,"[RPM]"))-$R24*60/2/$C$6)),ABS(INDIRECT(_xlfn.CONCAT($I$16,"[RPM]"))-$R24*60/2/$C$6),0))*100),$J$16,$K$16,$L$16,$C$2,$N$16,$Q24))-$O$16)*$C$8</f>
        <v>57.713174968128151</v>
      </c>
      <c r="V24" s="7" cm="1">
        <f t="array" aca="1" ref="V24" ca="1">(_xlfn.SINGLE(SingleCoilTorque($F$17,$G$17,IF($I$17="",$H$17,INDEX(INDIRECT(_xlfn.CONCAT($I$17,"[Torque]")),MATCH(MIN(ABS(INDIRECT(_xlfn.CONCAT($I$17,"[RPM]"))-$R24*60/2/$C$6)),ABS(INDIRECT(_xlfn.CONCAT($I$17,"[RPM]"))-$R24*60/2/$C$6),0))*100),$J$17,$K$17,$L$17,$C$2,$N$17,$Q24))-$O$17)*$C$8</f>
        <v>56.332579311475072</v>
      </c>
      <c r="W24" s="7" t="e" cm="1">
        <f t="array" aca="1" ref="W24" ca="1">(_xlfn.SINGLE(SingleCoilTorque($F$18,$G$18,IF($I$18="",$H$18,INDEX(INDIRECT(_xlfn.CONCAT($I$18,"[Torque]")),MATCH(MIN(ABS(INDIRECT(_xlfn.CONCAT($I$18,"[RPM]"))-$R24*60/2/$C$6)),ABS(INDIRECT(_xlfn.CONCAT($I$18,"[RPM]"))-$R24*60/2/$C$6),0))*100),$J$18,$K$18,$L$18,$C$2,$N$18,$Q24))-$O$18)*$C$8</f>
        <v>#VALUE!</v>
      </c>
      <c r="X24" s="7" t="e" cm="1">
        <f t="array" aca="1" ref="X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Y24" s="7" t="e" cm="1">
        <f t="array" aca="1" ref="Y24" ca="1">(_xlfn.SINGLE(SingleCoilTorque($F$20,$G$20,IF($I$20="",$H$20,INDEX(INDIRECT(_xlfn.CONCAT($I$20,"[Torque]")),MATCH(MIN(ABS(INDIRECT(_xlfn.CONCAT($I$20,"[RPM]"))-$R24*60/2/$C$6)),ABS(INDIRECT(_xlfn.CONCAT($I$20,"[RPM]"))-$R24*60/2/$C$6),0))*100),$J$20,$K$20,$L$20,$C$2,$N$20,$Q24))-$O$20)*$C$8</f>
        <v>#VALUE!</v>
      </c>
      <c r="Z24" s="7" t="e" cm="1">
        <f t="array" aca="1" ref="Z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A24" s="7" t="e" cm="1">
        <f t="array" aca="1" ref="AA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B24" s="7" t="e" cm="1">
        <f t="array" aca="1" ref="AB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C24" s="7" t="e" cm="1">
        <f t="array" aca="1" ref="AC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D24" s="7" t="e" cm="1">
        <f t="array" aca="1" ref="AD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E24" s="7" t="e" cm="1">
        <f t="array" aca="1" ref="AE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F24" s="7" t="e" cm="1">
        <f t="array" aca="1" ref="AF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G24" s="7" t="e" cm="1">
        <f t="array" aca="1" ref="AG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H24" s="7" t="e" cm="1">
        <f t="array" aca="1" ref="AH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I24" s="7" t="e" cm="1">
        <f t="array" aca="1" ref="AI24" ca="1">(_xlfn.SINGLE(SingleCoilTorque($F$19,$G$19,IF($I$19="",$H$19,INDEX(INDIRECT(_xlfn.CONCAT($I$19,"[Torque]")),MATCH(MIN(ABS(INDIRECT(_xlfn.CONCAT($I$19,"[RPM]"))-$R24*60/2/$C$6)),ABS(INDIRECT(_xlfn.CONCAT($I$19,"[RPM]"))-$R24*60/2/$C$6),0))*100),$J$19,$K$19,$L$19,$C$2,$N$19,$Q24))-$O$19)*$C$8</f>
        <v>#VALUE!</v>
      </c>
      <c r="AJ24" s="7">
        <f>$C$12</f>
        <v>23.8732414637843</v>
      </c>
      <c r="AL24">
        <f t="shared" si="2"/>
        <v>420</v>
      </c>
      <c r="AM24" s="7">
        <f>StepperPower($F$15,$G$15,$H$15,$J$15,$K$15,$L$15,$C$2,$N$15,$Q24)</f>
        <v>46.324752475247529</v>
      </c>
      <c r="AN24" s="7">
        <f>StepperPower($F$16,$G$16,$H$16,$J$16,$K$16,$L$16,$C$2,$N$16,$Q24)</f>
        <v>33.618564356435648</v>
      </c>
      <c r="AO24" s="7">
        <f>StepperPower($F$17,$G$17,$H$17,$J$17,$K$17,$L$17,$C$2,$N$17,$Q24)</f>
        <v>43.574752475247529</v>
      </c>
      <c r="AP24" s="7" t="e">
        <f>StepperPower($F$18,$G$18,$H$18,$J$18,$K$18,$L$18,$C$2,$N$18,$Q24)</f>
        <v>#VALUE!</v>
      </c>
      <c r="AQ24" s="7" t="e">
        <f>StepperPower($F$19,$G$19,$H$19,$J$19,$K$19,$L$19,$C$2,$N$19,$Q24)</f>
        <v>#VALUE!</v>
      </c>
      <c r="AR24" s="7" t="e">
        <f>StepperPower($F$20,$G$20,$H$20,$J$20,$K$20,$L$20,$C$2,$N$20,$Q24)</f>
        <v>#VALUE!</v>
      </c>
      <c r="AS24" s="7" t="e">
        <f>StepperPower($F$21,$G$21,$H$21,$J$21,$K$21,$L$21,$C$2,$N$21,$Q24)</f>
        <v>#VALUE!</v>
      </c>
      <c r="AT24" s="7" t="e">
        <f>StepperPower($F$22,$G$22,$H$22,$J$22,$K$22,$L$22,$C$2,$N$22,$Q24)</f>
        <v>#VALUE!</v>
      </c>
      <c r="AU24" s="7" t="e">
        <f>StepperPower($F$23,$G$23,$H$23,$J$23,$K$23,$L$23,$C$2,$N$23,$Q24)</f>
        <v>#VALUE!</v>
      </c>
      <c r="AV24" s="7" t="e">
        <f>StepperPower($F$24,$G$24,$H$24,$J$24,$K$24,$L$24,$C$2,$N$24,$Q24)</f>
        <v>#VALUE!</v>
      </c>
      <c r="AW24" s="7" t="e">
        <f>StepperPower($F$25,$G$25,$H$25,$J$25,$K$25,$L$25,$C$2,$N$25,$Q24)</f>
        <v>#VALUE!</v>
      </c>
      <c r="AX24" s="7" t="e">
        <f>StepperPower($F$26,$G$26,$H$26,$J$26,$K$26,$L$26,$C$2,$N$26,$Q24)</f>
        <v>#VALUE!</v>
      </c>
      <c r="AY24" s="7" t="e">
        <f>StepperPower($F$27,$G$27,$H$27,$J$27,$K$27,$L$27,$C$2,$N$27,$Q24)</f>
        <v>#VALUE!</v>
      </c>
      <c r="AZ24" s="7" t="e">
        <f>StepperPower($F$28,$G$28,$H$28,$J$28,$K$28,$L$28,$C$2,$N$28,$Q24)</f>
        <v>#VALUE!</v>
      </c>
      <c r="BA24" s="7" t="e">
        <f>StepperPower($F$29,$G$29,$H$29,$J$29,$K$29,$L$29,$C$2,$N$29,$Q24)</f>
        <v>#VALUE!</v>
      </c>
      <c r="BB24" s="7" t="e">
        <f>StepperPower($F$30,$G$30,$H$30,$J$30,$K$30,$L$30,$C$2,$N$30,$Q24)</f>
        <v>#VALUE!</v>
      </c>
      <c r="BC24" s="7"/>
    </row>
    <row r="25" spans="1:55" x14ac:dyDescent="0.25">
      <c r="A25" t="s">
        <v>53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IF(VLOOKUP($C25,'Motor Database'!$A$3:$L$300,12,FALSE)=0,"",VLOOKUP($C25,'Motor Database'!$A$3:$L$300,12,FALSE))</f>
        <v>#N/A</v>
      </c>
      <c r="J25" t="e">
        <f>VLOOKUP($C25,'Motor Database'!$A$3:$K$300,9,FALSE)</f>
        <v>#N/A</v>
      </c>
      <c r="K25" t="e">
        <f>VLOOKUP($C25,'Motor Database'!$A$3:$K$300,10,FALSE)</f>
        <v>#N/A</v>
      </c>
      <c r="L25" t="e">
        <f>VLOOKUP($C25,'Motor Database'!$A$3:$K$300,11,FALSE)</f>
        <v>#N/A</v>
      </c>
      <c r="M25" s="2" t="e">
        <f t="shared" si="4"/>
        <v>#N/A</v>
      </c>
      <c r="N25" s="2" t="e">
        <f>MIN($C$3,$C$4*$G25,$G25,M25)</f>
        <v>#N/A</v>
      </c>
      <c r="O25" s="2" t="e">
        <f>$C$10/($C$6*2)*2*PI()*(L25/(1000*100^2))*100</f>
        <v>#N/A</v>
      </c>
      <c r="Q25">
        <f t="shared" si="3"/>
        <v>11</v>
      </c>
      <c r="R25">
        <f t="shared" si="1"/>
        <v>440</v>
      </c>
      <c r="T25" s="7" cm="1">
        <f t="array" aca="1" ref="T25" ca="1">(_xlfn.SINGLE(SingleCoilTorque($F$15,$G$15,IF($I$15="",$H$15,INDEX(INDIRECT(_xlfn.CONCAT($I$15,"[Torque]")),MATCH(MIN(ABS(INDIRECT(_xlfn.CONCAT($I$15,"[RPM]"))-$R25*60/2/$C$6)),ABS(INDIRECT(_xlfn.CONCAT($I$15,"[RPM]"))-$R25*60/2/$C$6),0))*100),$J$15,$K$15,$L$15,$C$2,$N$15,$Q25))-$O$15)*$C$8</f>
        <v>45.02910321873842</v>
      </c>
      <c r="U25" s="7" cm="1">
        <f t="array" aca="1" ref="U25" ca="1">(_xlfn.SINGLE(SingleCoilTorque($F$16,$G$16,IF($I$16="",$H$16,INDEX(INDIRECT(_xlfn.CONCAT($I$16,"[Torque]")),MATCH(MIN(ABS(INDIRECT(_xlfn.CONCAT($I$16,"[RPM]"))-$R25*60/2/$C$6)),ABS(INDIRECT(_xlfn.CONCAT($I$16,"[RPM]"))-$R25*60/2/$C$6),0))*100),$J$16,$K$16,$L$16,$C$2,$N$16,$Q25))-$O$16)*$C$8</f>
        <v>54.31854979132477</v>
      </c>
      <c r="V25" s="7" cm="1">
        <f t="array" aca="1" ref="V25" ca="1">(_xlfn.SINGLE(SingleCoilTorque($F$17,$G$17,IF($I$17="",$H$17,INDEX(INDIRECT(_xlfn.CONCAT($I$17,"[Torque]")),MATCH(MIN(ABS(INDIRECT(_xlfn.CONCAT($I$17,"[RPM]"))-$R25*60/2/$C$6)),ABS(INDIRECT(_xlfn.CONCAT($I$17,"[RPM]"))-$R25*60/2/$C$6),0))*100),$J$17,$K$17,$L$17,$C$2,$N$17,$Q25))-$O$17)*$C$8</f>
        <v>51.24064154626997</v>
      </c>
      <c r="W25" s="7" t="e" cm="1">
        <f t="array" aca="1" ref="W25" ca="1">(_xlfn.SINGLE(SingleCoilTorque($F$18,$G$18,IF($I$18="",$H$18,INDEX(INDIRECT(_xlfn.CONCAT($I$18,"[Torque]")),MATCH(MIN(ABS(INDIRECT(_xlfn.CONCAT($I$18,"[RPM]"))-$R25*60/2/$C$6)),ABS(INDIRECT(_xlfn.CONCAT($I$18,"[RPM]"))-$R25*60/2/$C$6),0))*100),$J$18,$K$18,$L$18,$C$2,$N$18,$Q25))-$O$18)*$C$8</f>
        <v>#VALUE!</v>
      </c>
      <c r="X25" s="7" t="e" cm="1">
        <f t="array" aca="1" ref="X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Y25" s="7" t="e" cm="1">
        <f t="array" aca="1" ref="Y25" ca="1">(_xlfn.SINGLE(SingleCoilTorque($F$20,$G$20,IF($I$20="",$H$20,INDEX(INDIRECT(_xlfn.CONCAT($I$20,"[Torque]")),MATCH(MIN(ABS(INDIRECT(_xlfn.CONCAT($I$20,"[RPM]"))-$R25*60/2/$C$6)),ABS(INDIRECT(_xlfn.CONCAT($I$20,"[RPM]"))-$R25*60/2/$C$6),0))*100),$J$20,$K$20,$L$20,$C$2,$N$20,$Q25))-$O$20)*$C$8</f>
        <v>#VALUE!</v>
      </c>
      <c r="Z25" s="7" t="e" cm="1">
        <f t="array" aca="1" ref="Z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A25" s="7" t="e" cm="1">
        <f t="array" aca="1" ref="AA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B25" s="7" t="e" cm="1">
        <f t="array" aca="1" ref="AB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C25" s="7" t="e" cm="1">
        <f t="array" aca="1" ref="AC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D25" s="7" t="e" cm="1">
        <f t="array" aca="1" ref="AD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E25" s="7" t="e" cm="1">
        <f t="array" aca="1" ref="AE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F25" s="7" t="e" cm="1">
        <f t="array" aca="1" ref="AF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G25" s="7" t="e" cm="1">
        <f t="array" aca="1" ref="AG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H25" s="7" t="e" cm="1">
        <f t="array" aca="1" ref="AH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I25" s="7" t="e" cm="1">
        <f t="array" aca="1" ref="AI25" ca="1">(_xlfn.SINGLE(SingleCoilTorque($F$19,$G$19,IF($I$19="",$H$19,INDEX(INDIRECT(_xlfn.CONCAT($I$19,"[Torque]")),MATCH(MIN(ABS(INDIRECT(_xlfn.CONCAT($I$19,"[RPM]"))-$R25*60/2/$C$6)),ABS(INDIRECT(_xlfn.CONCAT($I$19,"[RPM]"))-$R25*60/2/$C$6),0))*100),$J$19,$K$19,$L$19,$C$2,$N$19,$Q25))-$O$19)*$C$8</f>
        <v>#VALUE!</v>
      </c>
      <c r="AJ25" s="7">
        <f>$C$12</f>
        <v>23.8732414637843</v>
      </c>
      <c r="AL25">
        <f t="shared" si="2"/>
        <v>440</v>
      </c>
      <c r="AM25" s="7">
        <f>StepperPower($F$15,$G$15,$H$15,$J$15,$K$15,$L$15,$C$2,$N$15,$Q25)</f>
        <v>48.102121640735504</v>
      </c>
      <c r="AN25" s="7">
        <f>StepperPower($F$16,$G$16,$H$16,$J$16,$K$16,$L$16,$C$2,$N$16,$Q25)</f>
        <v>34.951591230551628</v>
      </c>
      <c r="AO25" s="7">
        <f>StepperPower($F$17,$G$17,$H$17,$J$17,$K$17,$L$17,$C$2,$N$17,$Q25)</f>
        <v>45.352121640735504</v>
      </c>
      <c r="AP25" s="7" t="e">
        <f>StepperPower($F$18,$G$18,$H$18,$J$18,$K$18,$L$18,$C$2,$N$18,$Q25)</f>
        <v>#VALUE!</v>
      </c>
      <c r="AQ25" s="7" t="e">
        <f>StepperPower($F$19,$G$19,$H$19,$J$19,$K$19,$L$19,$C$2,$N$19,$Q25)</f>
        <v>#VALUE!</v>
      </c>
      <c r="AR25" s="7" t="e">
        <f>StepperPower($F$20,$G$20,$H$20,$J$20,$K$20,$L$20,$C$2,$N$20,$Q25)</f>
        <v>#VALUE!</v>
      </c>
      <c r="AS25" s="7" t="e">
        <f>StepperPower($F$21,$G$21,$H$21,$J$21,$K$21,$L$21,$C$2,$N$21,$Q25)</f>
        <v>#VALUE!</v>
      </c>
      <c r="AT25" s="7" t="e">
        <f>StepperPower($F$22,$G$22,$H$22,$J$22,$K$22,$L$22,$C$2,$N$22,$Q25)</f>
        <v>#VALUE!</v>
      </c>
      <c r="AU25" s="7" t="e">
        <f>StepperPower($F$23,$G$23,$H$23,$J$23,$K$23,$L$23,$C$2,$N$23,$Q25)</f>
        <v>#VALUE!</v>
      </c>
      <c r="AV25" s="7" t="e">
        <f>StepperPower($F$24,$G$24,$H$24,$J$24,$K$24,$L$24,$C$2,$N$24,$Q25)</f>
        <v>#VALUE!</v>
      </c>
      <c r="AW25" s="7" t="e">
        <f>StepperPower($F$25,$G$25,$H$25,$J$25,$K$25,$L$25,$C$2,$N$25,$Q25)</f>
        <v>#VALUE!</v>
      </c>
      <c r="AX25" s="7" t="e">
        <f>StepperPower($F$26,$G$26,$H$26,$J$26,$K$26,$L$26,$C$2,$N$26,$Q25)</f>
        <v>#VALUE!</v>
      </c>
      <c r="AY25" s="7" t="e">
        <f>StepperPower($F$27,$G$27,$H$27,$J$27,$K$27,$L$27,$C$2,$N$27,$Q25)</f>
        <v>#VALUE!</v>
      </c>
      <c r="AZ25" s="7" t="e">
        <f>StepperPower($F$28,$G$28,$H$28,$J$28,$K$28,$L$28,$C$2,$N$28,$Q25)</f>
        <v>#VALUE!</v>
      </c>
      <c r="BA25" s="7" t="e">
        <f>StepperPower($F$29,$G$29,$H$29,$J$29,$K$29,$L$29,$C$2,$N$29,$Q25)</f>
        <v>#VALUE!</v>
      </c>
      <c r="BB25" s="7" t="e">
        <f>StepperPower($F$30,$G$30,$H$30,$J$30,$K$30,$L$30,$C$2,$N$30,$Q25)</f>
        <v>#VALUE!</v>
      </c>
      <c r="BC25" s="7"/>
    </row>
    <row r="26" spans="1:55" x14ac:dyDescent="0.25">
      <c r="A26" t="s">
        <v>54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IF(VLOOKUP($C26,'Motor Database'!$A$3:$L$300,12,FALSE)=0,"",VLOOKUP($C26,'Motor Database'!$A$3:$L$300,12,FALSE))</f>
        <v>#N/A</v>
      </c>
      <c r="J26" t="e">
        <f>VLOOKUP($C26,'Motor Database'!$A$3:$K$300,9,FALSE)</f>
        <v>#N/A</v>
      </c>
      <c r="K26" t="e">
        <f>VLOOKUP($C26,'Motor Database'!$A$3:$K$300,10,FALSE)</f>
        <v>#N/A</v>
      </c>
      <c r="L26" t="e">
        <f>VLOOKUP($C26,'Motor Database'!$A$3:$K$300,11,FALSE)</f>
        <v>#N/A</v>
      </c>
      <c r="M26" s="2" t="e">
        <f t="shared" si="4"/>
        <v>#N/A</v>
      </c>
      <c r="N26" s="2" t="e">
        <f>MIN($C$3,$C$4*$G26,$G26,M26)</f>
        <v>#N/A</v>
      </c>
      <c r="O26" s="2" t="e">
        <f>$C$10/($C$6*2)*2*PI()*(L26/(1000*100^2))*100</f>
        <v>#N/A</v>
      </c>
      <c r="Q26">
        <f t="shared" si="3"/>
        <v>11.5</v>
      </c>
      <c r="R26">
        <f t="shared" si="1"/>
        <v>460</v>
      </c>
      <c r="T26" s="7" cm="1">
        <f t="array" aca="1" ref="T26" ca="1">(_xlfn.SINGLE(SingleCoilTorque($F$15,$G$15,IF($I$15="",$H$15,INDEX(INDIRECT(_xlfn.CONCAT($I$15,"[Torque]")),MATCH(MIN(ABS(INDIRECT(_xlfn.CONCAT($I$15,"[RPM]"))-$R26*60/2/$C$6)),ABS(INDIRECT(_xlfn.CONCAT($I$15,"[RPM]"))-$R26*60/2/$C$6),0))*100),$J$15,$K$15,$L$15,$C$2,$N$15,$Q26))-$O$15)*$C$8</f>
        <v>45.02910321873842</v>
      </c>
      <c r="U26" s="7" cm="1">
        <f t="array" aca="1" ref="U26" ca="1">(_xlfn.SINGLE(SingleCoilTorque($F$16,$G$16,IF($I$16="",$H$16,INDEX(INDIRECT(_xlfn.CONCAT($I$16,"[Torque]")),MATCH(MIN(ABS(INDIRECT(_xlfn.CONCAT($I$16,"[RPM]"))-$R26*60/2/$C$6)),ABS(INDIRECT(_xlfn.CONCAT($I$16,"[RPM]"))-$R26*60/2/$C$6),0))*100),$J$16,$K$16,$L$16,$C$2,$N$16,$Q26))-$O$16)*$C$8</f>
        <v>54.31854979132477</v>
      </c>
      <c r="V26" s="7" cm="1">
        <f t="array" aca="1" ref="V26" ca="1">(_xlfn.SINGLE(SingleCoilTorque($F$17,$G$17,IF($I$17="",$H$17,INDEX(INDIRECT(_xlfn.CONCAT($I$17,"[Torque]")),MATCH(MIN(ABS(INDIRECT(_xlfn.CONCAT($I$17,"[RPM]"))-$R26*60/2/$C$6)),ABS(INDIRECT(_xlfn.CONCAT($I$17,"[RPM]"))-$R26*60/2/$C$6),0))*100),$J$17,$K$17,$L$17,$C$2,$N$17,$Q26))-$O$17)*$C$8</f>
        <v>51.24064154626997</v>
      </c>
      <c r="W26" s="7" t="e" cm="1">
        <f t="array" aca="1" ref="W26" ca="1">(_xlfn.SINGLE(SingleCoilTorque($F$18,$G$18,IF($I$18="",$H$18,INDEX(INDIRECT(_xlfn.CONCAT($I$18,"[Torque]")),MATCH(MIN(ABS(INDIRECT(_xlfn.CONCAT($I$18,"[RPM]"))-$R26*60/2/$C$6)),ABS(INDIRECT(_xlfn.CONCAT($I$18,"[RPM]"))-$R26*60/2/$C$6),0))*100),$J$18,$K$18,$L$18,$C$2,$N$18,$Q26))-$O$18)*$C$8</f>
        <v>#VALUE!</v>
      </c>
      <c r="X26" s="7" t="e" cm="1">
        <f t="array" aca="1" ref="X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Y26" s="7" t="e" cm="1">
        <f t="array" aca="1" ref="Y26" ca="1">(_xlfn.SINGLE(SingleCoilTorque($F$20,$G$20,IF($I$20="",$H$20,INDEX(INDIRECT(_xlfn.CONCAT($I$20,"[Torque]")),MATCH(MIN(ABS(INDIRECT(_xlfn.CONCAT($I$20,"[RPM]"))-$R26*60/2/$C$6)),ABS(INDIRECT(_xlfn.CONCAT($I$20,"[RPM]"))-$R26*60/2/$C$6),0))*100),$J$20,$K$20,$L$20,$C$2,$N$20,$Q26))-$O$20)*$C$8</f>
        <v>#VALUE!</v>
      </c>
      <c r="Z26" s="7" t="e" cm="1">
        <f t="array" aca="1" ref="Z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A26" s="7" t="e" cm="1">
        <f t="array" aca="1" ref="AA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B26" s="7" t="e" cm="1">
        <f t="array" aca="1" ref="AB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C26" s="7" t="e" cm="1">
        <f t="array" aca="1" ref="AC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D26" s="7" t="e" cm="1">
        <f t="array" aca="1" ref="AD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E26" s="7" t="e" cm="1">
        <f t="array" aca="1" ref="AE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F26" s="7" t="e" cm="1">
        <f t="array" aca="1" ref="AF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G26" s="7" t="e" cm="1">
        <f t="array" aca="1" ref="AG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H26" s="7" t="e" cm="1">
        <f t="array" aca="1" ref="AH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I26" s="7" t="e" cm="1">
        <f t="array" aca="1" ref="AI26" ca="1">(_xlfn.SINGLE(SingleCoilTorque($F$19,$G$19,IF($I$19="",$H$19,INDEX(INDIRECT(_xlfn.CONCAT($I$19,"[Torque]")),MATCH(MIN(ABS(INDIRECT(_xlfn.CONCAT($I$19,"[RPM]"))-$R26*60/2/$C$6)),ABS(INDIRECT(_xlfn.CONCAT($I$19,"[RPM]"))-$R26*60/2/$C$6),0))*100),$J$19,$K$19,$L$19,$C$2,$N$19,$Q26))-$O$19)*$C$8</f>
        <v>#VALUE!</v>
      </c>
      <c r="AJ26" s="7">
        <f>$C$12</f>
        <v>23.8732414637843</v>
      </c>
      <c r="AL26">
        <f t="shared" si="2"/>
        <v>460</v>
      </c>
      <c r="AM26" s="7">
        <f>StepperPower($F$15,$G$15,$H$15,$J$15,$K$15,$L$15,$C$2,$N$15,$Q26)</f>
        <v>49.879490806223487</v>
      </c>
      <c r="AN26" s="7">
        <f>StepperPower($F$16,$G$16,$H$16,$J$16,$K$16,$L$16,$C$2,$N$16,$Q26)</f>
        <v>36.284618104667615</v>
      </c>
      <c r="AO26" s="7">
        <f>StepperPower($F$17,$G$17,$H$17,$J$17,$K$17,$L$17,$C$2,$N$17,$Q26)</f>
        <v>47.12949080622348</v>
      </c>
      <c r="AP26" s="7" t="e">
        <f>StepperPower($F$18,$G$18,$H$18,$J$18,$K$18,$L$18,$C$2,$N$18,$Q26)</f>
        <v>#VALUE!</v>
      </c>
      <c r="AQ26" s="7" t="e">
        <f>StepperPower($F$19,$G$19,$H$19,$J$19,$K$19,$L$19,$C$2,$N$19,$Q26)</f>
        <v>#VALUE!</v>
      </c>
      <c r="AR26" s="7" t="e">
        <f>StepperPower($F$20,$G$20,$H$20,$J$20,$K$20,$L$20,$C$2,$N$20,$Q26)</f>
        <v>#VALUE!</v>
      </c>
      <c r="AS26" s="7" t="e">
        <f>StepperPower($F$21,$G$21,$H$21,$J$21,$K$21,$L$21,$C$2,$N$21,$Q26)</f>
        <v>#VALUE!</v>
      </c>
      <c r="AT26" s="7" t="e">
        <f>StepperPower($F$22,$G$22,$H$22,$J$22,$K$22,$L$22,$C$2,$N$22,$Q26)</f>
        <v>#VALUE!</v>
      </c>
      <c r="AU26" s="7" t="e">
        <f>StepperPower($F$23,$G$23,$H$23,$J$23,$K$23,$L$23,$C$2,$N$23,$Q26)</f>
        <v>#VALUE!</v>
      </c>
      <c r="AV26" s="7" t="e">
        <f>StepperPower($F$24,$G$24,$H$24,$J$24,$K$24,$L$24,$C$2,$N$24,$Q26)</f>
        <v>#VALUE!</v>
      </c>
      <c r="AW26" s="7" t="e">
        <f>StepperPower($F$25,$G$25,$H$25,$J$25,$K$25,$L$25,$C$2,$N$25,$Q26)</f>
        <v>#VALUE!</v>
      </c>
      <c r="AX26" s="7" t="e">
        <f>StepperPower($F$26,$G$26,$H$26,$J$26,$K$26,$L$26,$C$2,$N$26,$Q26)</f>
        <v>#VALUE!</v>
      </c>
      <c r="AY26" s="7" t="e">
        <f>StepperPower($F$27,$G$27,$H$27,$J$27,$K$27,$L$27,$C$2,$N$27,$Q26)</f>
        <v>#VALUE!</v>
      </c>
      <c r="AZ26" s="7" t="e">
        <f>StepperPower($F$28,$G$28,$H$28,$J$28,$K$28,$L$28,$C$2,$N$28,$Q26)</f>
        <v>#VALUE!</v>
      </c>
      <c r="BA26" s="7" t="e">
        <f>StepperPower($F$29,$G$29,$H$29,$J$29,$K$29,$L$29,$C$2,$N$29,$Q26)</f>
        <v>#VALUE!</v>
      </c>
      <c r="BB26" s="7" t="e">
        <f>StepperPower($F$30,$G$30,$H$30,$J$30,$K$30,$L$30,$C$2,$N$30,$Q26)</f>
        <v>#VALUE!</v>
      </c>
      <c r="BC26" s="7"/>
    </row>
    <row r="27" spans="1:55" x14ac:dyDescent="0.25">
      <c r="A27" t="s">
        <v>55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IF(VLOOKUP($C27,'Motor Database'!$A$3:$L$300,12,FALSE)=0,"",VLOOKUP($C27,'Motor Database'!$A$3:$L$300,12,FALSE))</f>
        <v>#N/A</v>
      </c>
      <c r="J27" t="e">
        <f>VLOOKUP($C27,'Motor Database'!$A$3:$K$300,9,FALSE)</f>
        <v>#N/A</v>
      </c>
      <c r="K27" t="e">
        <f>VLOOKUP($C27,'Motor Database'!$A$3:$K$300,10,FALSE)</f>
        <v>#N/A</v>
      </c>
      <c r="L27" t="e">
        <f>VLOOKUP($C27,'Motor Database'!$A$3:$K$300,11,FALSE)</f>
        <v>#N/A</v>
      </c>
      <c r="M27" s="2" t="e">
        <f t="shared" si="4"/>
        <v>#N/A</v>
      </c>
      <c r="N27" s="2" t="e">
        <f>MIN($C$3,$C$4*$G27,$G27,M27)</f>
        <v>#N/A</v>
      </c>
      <c r="O27" s="2" t="e">
        <f>$C$10/($C$6*2)*2*PI()*(L27/(1000*100^2))*100</f>
        <v>#N/A</v>
      </c>
      <c r="Q27">
        <f t="shared" si="3"/>
        <v>12</v>
      </c>
      <c r="R27">
        <f t="shared" si="1"/>
        <v>480</v>
      </c>
      <c r="T27" s="7" cm="1">
        <f t="array" aca="1" ref="T27" ca="1">(_xlfn.SINGLE(SingleCoilTorque($F$15,$G$15,IF($I$15="",$H$15,INDEX(INDIRECT(_xlfn.CONCAT($I$15,"[Torque]")),MATCH(MIN(ABS(INDIRECT(_xlfn.CONCAT($I$15,"[RPM]"))-$R27*60/2/$C$6)),ABS(INDIRECT(_xlfn.CONCAT($I$15,"[RPM]"))-$R27*60/2/$C$6),0))*100),$J$15,$K$15,$L$15,$C$2,$N$15,$Q27))-$O$15)*$C$8</f>
        <v>40.729244661454118</v>
      </c>
      <c r="U27" s="7" cm="1">
        <f t="array" aca="1" ref="U27" ca="1">(_xlfn.SINGLE(SingleCoilTorque($F$16,$G$16,IF($I$16="",$H$16,INDEX(INDIRECT(_xlfn.CONCAT($I$16,"[Torque]")),MATCH(MIN(ABS(INDIRECT(_xlfn.CONCAT($I$16,"[RPM]"))-$R27*60/2/$C$6)),ABS(INDIRECT(_xlfn.CONCAT($I$16,"[RPM]"))-$R27*60/2/$C$6),0))*100),$J$16,$K$16,$L$16,$C$2,$N$16,$Q27))-$O$16)*$C$8</f>
        <v>54.31854979132477</v>
      </c>
      <c r="V27" s="7" cm="1">
        <f t="array" aca="1" ref="V27" ca="1">(_xlfn.SINGLE(SingleCoilTorque($F$17,$G$17,IF($I$17="",$H$17,INDEX(INDIRECT(_xlfn.CONCAT($I$17,"[Torque]")),MATCH(MIN(ABS(INDIRECT(_xlfn.CONCAT($I$17,"[RPM]"))-$R27*60/2/$C$6)),ABS(INDIRECT(_xlfn.CONCAT($I$17,"[RPM]"))-$R27*60/2/$C$6),0))*100),$J$17,$K$17,$L$17,$C$2,$N$17,$Q27))-$O$17)*$C$8</f>
        <v>51.24064154626997</v>
      </c>
      <c r="W27" s="7" t="e" cm="1">
        <f t="array" aca="1" ref="W27" ca="1">(_xlfn.SINGLE(SingleCoilTorque($F$18,$G$18,IF($I$18="",$H$18,INDEX(INDIRECT(_xlfn.CONCAT($I$18,"[Torque]")),MATCH(MIN(ABS(INDIRECT(_xlfn.CONCAT($I$18,"[RPM]"))-$R27*60/2/$C$6)),ABS(INDIRECT(_xlfn.CONCAT($I$18,"[RPM]"))-$R27*60/2/$C$6),0))*100),$J$18,$K$18,$L$18,$C$2,$N$18,$Q27))-$O$18)*$C$8</f>
        <v>#VALUE!</v>
      </c>
      <c r="X27" s="7" t="e" cm="1">
        <f t="array" aca="1" ref="X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Y27" s="7" t="e" cm="1">
        <f t="array" aca="1" ref="Y27" ca="1">(_xlfn.SINGLE(SingleCoilTorque($F$20,$G$20,IF($I$20="",$H$20,INDEX(INDIRECT(_xlfn.CONCAT($I$20,"[Torque]")),MATCH(MIN(ABS(INDIRECT(_xlfn.CONCAT($I$20,"[RPM]"))-$R27*60/2/$C$6)),ABS(INDIRECT(_xlfn.CONCAT($I$20,"[RPM]"))-$R27*60/2/$C$6),0))*100),$J$20,$K$20,$L$20,$C$2,$N$20,$Q27))-$O$20)*$C$8</f>
        <v>#VALUE!</v>
      </c>
      <c r="Z27" s="7" t="e" cm="1">
        <f t="array" aca="1" ref="Z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A27" s="7" t="e" cm="1">
        <f t="array" aca="1" ref="AA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B27" s="7" t="e" cm="1">
        <f t="array" aca="1" ref="AB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C27" s="7" t="e" cm="1">
        <f t="array" aca="1" ref="AC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D27" s="7" t="e" cm="1">
        <f t="array" aca="1" ref="AD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E27" s="7" t="e" cm="1">
        <f t="array" aca="1" ref="AE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F27" s="7" t="e" cm="1">
        <f t="array" aca="1" ref="AF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G27" s="7" t="e" cm="1">
        <f t="array" aca="1" ref="AG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H27" s="7" t="e" cm="1">
        <f t="array" aca="1" ref="AH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I27" s="7" t="e" cm="1">
        <f t="array" aca="1" ref="AI27" ca="1">(_xlfn.SINGLE(SingleCoilTorque($F$19,$G$19,IF($I$19="",$H$19,INDEX(INDIRECT(_xlfn.CONCAT($I$19,"[Torque]")),MATCH(MIN(ABS(INDIRECT(_xlfn.CONCAT($I$19,"[RPM]"))-$R27*60/2/$C$6)),ABS(INDIRECT(_xlfn.CONCAT($I$19,"[RPM]"))-$R27*60/2/$C$6),0))*100),$J$19,$K$19,$L$19,$C$2,$N$19,$Q27))-$O$19)*$C$8</f>
        <v>#VALUE!</v>
      </c>
      <c r="AJ27" s="7">
        <f>$C$12</f>
        <v>23.8732414637843</v>
      </c>
      <c r="AL27">
        <f t="shared" si="2"/>
        <v>480</v>
      </c>
      <c r="AM27" s="7">
        <f>StepperPower($F$15,$G$15,$H$15,$J$15,$K$15,$L$15,$C$2,$N$15,$Q27)</f>
        <v>51.656859971711455</v>
      </c>
      <c r="AN27" s="7">
        <f>StepperPower($F$16,$G$16,$H$16,$J$16,$K$16,$L$16,$C$2,$N$16,$Q27)</f>
        <v>37.617644978783595</v>
      </c>
      <c r="AO27" s="7">
        <f>StepperPower($F$17,$G$17,$H$17,$J$17,$K$17,$L$17,$C$2,$N$17,$Q27)</f>
        <v>48.906859971711462</v>
      </c>
      <c r="AP27" s="7" t="e">
        <f>StepperPower($F$18,$G$18,$H$18,$J$18,$K$18,$L$18,$C$2,$N$18,$Q27)</f>
        <v>#VALUE!</v>
      </c>
      <c r="AQ27" s="7" t="e">
        <f>StepperPower($F$19,$G$19,$H$19,$J$19,$K$19,$L$19,$C$2,$N$19,$Q27)</f>
        <v>#VALUE!</v>
      </c>
      <c r="AR27" s="7" t="e">
        <f>StepperPower($F$20,$G$20,$H$20,$J$20,$K$20,$L$20,$C$2,$N$20,$Q27)</f>
        <v>#VALUE!</v>
      </c>
      <c r="AS27" s="7" t="e">
        <f>StepperPower($F$21,$G$21,$H$21,$J$21,$K$21,$L$21,$C$2,$N$21,$Q27)</f>
        <v>#VALUE!</v>
      </c>
      <c r="AT27" s="7" t="e">
        <f>StepperPower($F$22,$G$22,$H$22,$J$22,$K$22,$L$22,$C$2,$N$22,$Q27)</f>
        <v>#VALUE!</v>
      </c>
      <c r="AU27" s="7" t="e">
        <f>StepperPower($F$23,$G$23,$H$23,$J$23,$K$23,$L$23,$C$2,$N$23,$Q27)</f>
        <v>#VALUE!</v>
      </c>
      <c r="AV27" s="7" t="e">
        <f>StepperPower($F$24,$G$24,$H$24,$J$24,$K$24,$L$24,$C$2,$N$24,$Q27)</f>
        <v>#VALUE!</v>
      </c>
      <c r="AW27" s="7" t="e">
        <f>StepperPower($F$25,$G$25,$H$25,$J$25,$K$25,$L$25,$C$2,$N$25,$Q27)</f>
        <v>#VALUE!</v>
      </c>
      <c r="AX27" s="7" t="e">
        <f>StepperPower($F$26,$G$26,$H$26,$J$26,$K$26,$L$26,$C$2,$N$26,$Q27)</f>
        <v>#VALUE!</v>
      </c>
      <c r="AY27" s="7" t="e">
        <f>StepperPower($F$27,$G$27,$H$27,$J$27,$K$27,$L$27,$C$2,$N$27,$Q27)</f>
        <v>#VALUE!</v>
      </c>
      <c r="AZ27" s="7" t="e">
        <f>StepperPower($F$28,$G$28,$H$28,$J$28,$K$28,$L$28,$C$2,$N$28,$Q27)</f>
        <v>#VALUE!</v>
      </c>
      <c r="BA27" s="7" t="e">
        <f>StepperPower($F$29,$G$29,$H$29,$J$29,$K$29,$L$29,$C$2,$N$29,$Q27)</f>
        <v>#VALUE!</v>
      </c>
      <c r="BB27" s="7" t="e">
        <f>StepperPower($F$30,$G$30,$H$30,$J$30,$K$30,$L$30,$C$2,$N$30,$Q27)</f>
        <v>#VALUE!</v>
      </c>
      <c r="BC27" s="7"/>
    </row>
    <row r="28" spans="1:55" x14ac:dyDescent="0.25">
      <c r="A28" t="s">
        <v>56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IF(VLOOKUP($C28,'Motor Database'!$A$3:$L$300,12,FALSE)=0,"",VLOOKUP($C28,'Motor Database'!$A$3:$L$300,12,FALSE))</f>
        <v>#N/A</v>
      </c>
      <c r="J28" t="e">
        <f>VLOOKUP($C28,'Motor Database'!$A$3:$K$300,9,FALSE)</f>
        <v>#N/A</v>
      </c>
      <c r="K28" t="e">
        <f>VLOOKUP($C28,'Motor Database'!$A$3:$K$300,10,FALSE)</f>
        <v>#N/A</v>
      </c>
      <c r="L28" t="e">
        <f>VLOOKUP($C28,'Motor Database'!$A$3:$K$300,11,FALSE)</f>
        <v>#N/A</v>
      </c>
      <c r="M28" s="2" t="e">
        <f t="shared" si="4"/>
        <v>#N/A</v>
      </c>
      <c r="N28" s="2" t="e">
        <f>MIN($C$3,$C$4*$G28,$G28,M28)</f>
        <v>#N/A</v>
      </c>
      <c r="O28" s="2" t="e">
        <f>$C$10/($C$6*2)*2*PI()*(L28/(1000*100^2))*100</f>
        <v>#N/A</v>
      </c>
      <c r="Q28">
        <f t="shared" si="3"/>
        <v>12.5</v>
      </c>
      <c r="R28">
        <f t="shared" si="1"/>
        <v>500</v>
      </c>
      <c r="T28" s="7" cm="1">
        <f t="array" aca="1" ref="T28" ca="1">(_xlfn.SINGLE(SingleCoilTorque($F$15,$G$15,IF($I$15="",$H$15,INDEX(INDIRECT(_xlfn.CONCAT($I$15,"[Torque]")),MATCH(MIN(ABS(INDIRECT(_xlfn.CONCAT($I$15,"[RPM]"))-$R28*60/2/$C$6)),ABS(INDIRECT(_xlfn.CONCAT($I$15,"[RPM]"))-$R28*60/2/$C$6),0))*100),$J$15,$K$15,$L$15,$C$2,$N$15,$Q28))-$O$15)*$C$8</f>
        <v>40.729244661454118</v>
      </c>
      <c r="U28" s="7" cm="1">
        <f t="array" aca="1" ref="U28" ca="1">(_xlfn.SINGLE(SingleCoilTorque($F$16,$G$16,IF($I$16="",$H$16,INDEX(INDIRECT(_xlfn.CONCAT($I$16,"[Torque]")),MATCH(MIN(ABS(INDIRECT(_xlfn.CONCAT($I$16,"[RPM]"))-$R28*60/2/$C$6)),ABS(INDIRECT(_xlfn.CONCAT($I$16,"[RPM]"))-$R28*60/2/$C$6),0))*100),$J$16,$K$16,$L$16,$C$2,$N$16,$Q28))-$O$16)*$C$8</f>
        <v>54.31854979132477</v>
      </c>
      <c r="V28" s="7" cm="1">
        <f t="array" aca="1" ref="V28" ca="1">(_xlfn.SINGLE(SingleCoilTorque($F$17,$G$17,IF($I$17="",$H$17,INDEX(INDIRECT(_xlfn.CONCAT($I$17,"[Torque]")),MATCH(MIN(ABS(INDIRECT(_xlfn.CONCAT($I$17,"[RPM]"))-$R28*60/2/$C$6)),ABS(INDIRECT(_xlfn.CONCAT($I$17,"[RPM]"))-$R28*60/2/$C$6),0))*100),$J$17,$K$17,$L$17,$C$2,$N$17,$Q28))-$O$17)*$C$8</f>
        <v>51.24064154626997</v>
      </c>
      <c r="W28" s="7" t="e" cm="1">
        <f t="array" aca="1" ref="W28" ca="1">(_xlfn.SINGLE(SingleCoilTorque($F$18,$G$18,IF($I$18="",$H$18,INDEX(INDIRECT(_xlfn.CONCAT($I$18,"[Torque]")),MATCH(MIN(ABS(INDIRECT(_xlfn.CONCAT($I$18,"[RPM]"))-$R28*60/2/$C$6)),ABS(INDIRECT(_xlfn.CONCAT($I$18,"[RPM]"))-$R28*60/2/$C$6),0))*100),$J$18,$K$18,$L$18,$C$2,$N$18,$Q28))-$O$18)*$C$8</f>
        <v>#VALUE!</v>
      </c>
      <c r="X28" s="7" t="e" cm="1">
        <f t="array" aca="1" ref="X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Y28" s="7" t="e" cm="1">
        <f t="array" aca="1" ref="Y28" ca="1">(_xlfn.SINGLE(SingleCoilTorque($F$20,$G$20,IF($I$20="",$H$20,INDEX(INDIRECT(_xlfn.CONCAT($I$20,"[Torque]")),MATCH(MIN(ABS(INDIRECT(_xlfn.CONCAT($I$20,"[RPM]"))-$R28*60/2/$C$6)),ABS(INDIRECT(_xlfn.CONCAT($I$20,"[RPM]"))-$R28*60/2/$C$6),0))*100),$J$20,$K$20,$L$20,$C$2,$N$20,$Q28))-$O$20)*$C$8</f>
        <v>#VALUE!</v>
      </c>
      <c r="Z28" s="7" t="e" cm="1">
        <f t="array" aca="1" ref="Z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A28" s="7" t="e" cm="1">
        <f t="array" aca="1" ref="AA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B28" s="7" t="e" cm="1">
        <f t="array" aca="1" ref="AB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C28" s="7" t="e" cm="1">
        <f t="array" aca="1" ref="AC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D28" s="7" t="e" cm="1">
        <f t="array" aca="1" ref="AD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E28" s="7" t="e" cm="1">
        <f t="array" aca="1" ref="AE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F28" s="7" t="e" cm="1">
        <f t="array" aca="1" ref="AF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G28" s="7" t="e" cm="1">
        <f t="array" aca="1" ref="AG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H28" s="7" t="e" cm="1">
        <f t="array" aca="1" ref="AH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I28" s="7" t="e" cm="1">
        <f t="array" aca="1" ref="AI28" ca="1">(_xlfn.SINGLE(SingleCoilTorque($F$19,$G$19,IF($I$19="",$H$19,INDEX(INDIRECT(_xlfn.CONCAT($I$19,"[Torque]")),MATCH(MIN(ABS(INDIRECT(_xlfn.CONCAT($I$19,"[RPM]"))-$R28*60/2/$C$6)),ABS(INDIRECT(_xlfn.CONCAT($I$19,"[RPM]"))-$R28*60/2/$C$6),0))*100),$J$19,$K$19,$L$19,$C$2,$N$19,$Q28))-$O$19)*$C$8</f>
        <v>#VALUE!</v>
      </c>
      <c r="AJ28" s="7">
        <f>$C$12</f>
        <v>23.8732414637843</v>
      </c>
      <c r="AL28">
        <f t="shared" si="2"/>
        <v>500</v>
      </c>
      <c r="AM28" s="7">
        <f>StepperPower($F$15,$G$15,$H$15,$J$15,$K$15,$L$15,$C$2,$N$15,$Q28)</f>
        <v>53.434229137199445</v>
      </c>
      <c r="AN28" s="7">
        <f>StepperPower($F$16,$G$16,$H$16,$J$16,$K$16,$L$16,$C$2,$N$16,$Q28)</f>
        <v>38.950671852899582</v>
      </c>
      <c r="AO28" s="7">
        <f>StepperPower($F$17,$G$17,$H$17,$J$17,$K$17,$L$17,$C$2,$N$17,$Q28)</f>
        <v>50.684229137199438</v>
      </c>
      <c r="AP28" s="7" t="e">
        <f>StepperPower($F$18,$G$18,$H$18,$J$18,$K$18,$L$18,$C$2,$N$18,$Q28)</f>
        <v>#VALUE!</v>
      </c>
      <c r="AQ28" s="7" t="e">
        <f>StepperPower($F$19,$G$19,$H$19,$J$19,$K$19,$L$19,$C$2,$N$19,$Q28)</f>
        <v>#VALUE!</v>
      </c>
      <c r="AR28" s="7" t="e">
        <f>StepperPower($F$20,$G$20,$H$20,$J$20,$K$20,$L$20,$C$2,$N$20,$Q28)</f>
        <v>#VALUE!</v>
      </c>
      <c r="AS28" s="7" t="e">
        <f>StepperPower($F$21,$G$21,$H$21,$J$21,$K$21,$L$21,$C$2,$N$21,$Q28)</f>
        <v>#VALUE!</v>
      </c>
      <c r="AT28" s="7" t="e">
        <f>StepperPower($F$22,$G$22,$H$22,$J$22,$K$22,$L$22,$C$2,$N$22,$Q28)</f>
        <v>#VALUE!</v>
      </c>
      <c r="AU28" s="7" t="e">
        <f>StepperPower($F$23,$G$23,$H$23,$J$23,$K$23,$L$23,$C$2,$N$23,$Q28)</f>
        <v>#VALUE!</v>
      </c>
      <c r="AV28" s="7" t="e">
        <f>StepperPower($F$24,$G$24,$H$24,$J$24,$K$24,$L$24,$C$2,$N$24,$Q28)</f>
        <v>#VALUE!</v>
      </c>
      <c r="AW28" s="7" t="e">
        <f>StepperPower($F$25,$G$25,$H$25,$J$25,$K$25,$L$25,$C$2,$N$25,$Q28)</f>
        <v>#VALUE!</v>
      </c>
      <c r="AX28" s="7" t="e">
        <f>StepperPower($F$26,$G$26,$H$26,$J$26,$K$26,$L$26,$C$2,$N$26,$Q28)</f>
        <v>#VALUE!</v>
      </c>
      <c r="AY28" s="7" t="e">
        <f>StepperPower($F$27,$G$27,$H$27,$J$27,$K$27,$L$27,$C$2,$N$27,$Q28)</f>
        <v>#VALUE!</v>
      </c>
      <c r="AZ28" s="7" t="e">
        <f>StepperPower($F$28,$G$28,$H$28,$J$28,$K$28,$L$28,$C$2,$N$28,$Q28)</f>
        <v>#VALUE!</v>
      </c>
      <c r="BA28" s="7" t="e">
        <f>StepperPower($F$29,$G$29,$H$29,$J$29,$K$29,$L$29,$C$2,$N$29,$Q28)</f>
        <v>#VALUE!</v>
      </c>
      <c r="BB28" s="7" t="e">
        <f>StepperPower($F$30,$G$30,$H$30,$J$30,$K$30,$L$30,$C$2,$N$30,$Q28)</f>
        <v>#VALUE!</v>
      </c>
      <c r="BC28" s="7"/>
    </row>
    <row r="29" spans="1:55" x14ac:dyDescent="0.25">
      <c r="A29" t="s">
        <v>57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IF(VLOOKUP($C29,'Motor Database'!$A$3:$L$300,12,FALSE)=0,"",VLOOKUP($C29,'Motor Database'!$A$3:$L$300,12,FALSE))</f>
        <v>#N/A</v>
      </c>
      <c r="J29" t="e">
        <f>VLOOKUP($C29,'Motor Database'!$A$3:$K$300,9,FALSE)</f>
        <v>#N/A</v>
      </c>
      <c r="K29" t="e">
        <f>VLOOKUP($C29,'Motor Database'!$A$3:$K$300,10,FALSE)</f>
        <v>#N/A</v>
      </c>
      <c r="L29" t="e">
        <f>VLOOKUP($C29,'Motor Database'!$A$3:$K$300,11,FALSE)</f>
        <v>#N/A</v>
      </c>
      <c r="M29" s="2" t="e">
        <f t="shared" si="4"/>
        <v>#N/A</v>
      </c>
      <c r="N29" s="2" t="e">
        <f>MIN($C$3,$C$4*$G29,$G29,M29)</f>
        <v>#N/A</v>
      </c>
      <c r="O29" s="2" t="e">
        <f>$C$10/($C$6*2)*2*PI()*(L29/(1000*100^2))*100</f>
        <v>#N/A</v>
      </c>
      <c r="Q29">
        <f t="shared" si="3"/>
        <v>13</v>
      </c>
      <c r="R29">
        <f t="shared" si="1"/>
        <v>520</v>
      </c>
      <c r="T29" s="7" cm="1">
        <f t="array" aca="1" ref="T29" ca="1">(_xlfn.SINGLE(SingleCoilTorque($F$15,$G$15,IF($I$15="",$H$15,INDEX(INDIRECT(_xlfn.CONCAT($I$15,"[Torque]")),MATCH(MIN(ABS(INDIRECT(_xlfn.CONCAT($I$15,"[RPM]"))-$R29*60/2/$C$6)),ABS(INDIRECT(_xlfn.CONCAT($I$15,"[RPM]"))-$R29*60/2/$C$6),0))*100),$J$15,$K$15,$L$15,$C$2,$N$15,$Q29))-$O$15)*$C$8</f>
        <v>37.900390347451292</v>
      </c>
      <c r="U29" s="7" cm="1">
        <f t="array" aca="1" ref="U29" ca="1">(_xlfn.SINGLE(SingleCoilTorque($F$16,$G$16,IF($I$16="",$H$16,INDEX(INDIRECT(_xlfn.CONCAT($I$16,"[Torque]")),MATCH(MIN(ABS(INDIRECT(_xlfn.CONCAT($I$16,"[RPM]"))-$R29*60/2/$C$6)),ABS(INDIRECT(_xlfn.CONCAT($I$16,"[RPM]"))-$R29*60/2/$C$6),0))*100),$J$16,$K$16,$L$16,$C$2,$N$16,$Q29))-$O$16)*$C$8</f>
        <v>50.923924614521376</v>
      </c>
      <c r="V29" s="7" cm="1">
        <f t="array" aca="1" ref="V29" ca="1">(_xlfn.SINGLE(SingleCoilTorque($F$17,$G$17,IF($I$17="",$H$17,INDEX(INDIRECT(_xlfn.CONCAT($I$17,"[Torque]")),MATCH(MIN(ABS(INDIRECT(_xlfn.CONCAT($I$17,"[RPM]"))-$R29*60/2/$C$6)),ABS(INDIRECT(_xlfn.CONCAT($I$17,"[RPM]"))-$R29*60/2/$C$6),0))*100),$J$17,$K$17,$L$17,$C$2,$N$17,$Q29))-$O$17)*$C$8</f>
        <v>46.148703781064889</v>
      </c>
      <c r="W29" s="7" t="e" cm="1">
        <f t="array" aca="1" ref="W29" ca="1">(_xlfn.SINGLE(SingleCoilTorque($F$18,$G$18,IF($I$18="",$H$18,INDEX(INDIRECT(_xlfn.CONCAT($I$18,"[Torque]")),MATCH(MIN(ABS(INDIRECT(_xlfn.CONCAT($I$18,"[RPM]"))-$R29*60/2/$C$6)),ABS(INDIRECT(_xlfn.CONCAT($I$18,"[RPM]"))-$R29*60/2/$C$6),0))*100),$J$18,$K$18,$L$18,$C$2,$N$18,$Q29))-$O$18)*$C$8</f>
        <v>#VALUE!</v>
      </c>
      <c r="X29" s="7" t="e" cm="1">
        <f t="array" aca="1" ref="X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Y29" s="7" t="e" cm="1">
        <f t="array" aca="1" ref="Y29" ca="1">(_xlfn.SINGLE(SingleCoilTorque($F$20,$G$20,IF($I$20="",$H$20,INDEX(INDIRECT(_xlfn.CONCAT($I$20,"[Torque]")),MATCH(MIN(ABS(INDIRECT(_xlfn.CONCAT($I$20,"[RPM]"))-$R29*60/2/$C$6)),ABS(INDIRECT(_xlfn.CONCAT($I$20,"[RPM]"))-$R29*60/2/$C$6),0))*100),$J$20,$K$20,$L$20,$C$2,$N$20,$Q29))-$O$20)*$C$8</f>
        <v>#VALUE!</v>
      </c>
      <c r="Z29" s="7" t="e" cm="1">
        <f t="array" aca="1" ref="Z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A29" s="7" t="e" cm="1">
        <f t="array" aca="1" ref="AA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B29" s="7" t="e" cm="1">
        <f t="array" aca="1" ref="AB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C29" s="7" t="e" cm="1">
        <f t="array" aca="1" ref="AC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D29" s="7" t="e" cm="1">
        <f t="array" aca="1" ref="AD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E29" s="7" t="e" cm="1">
        <f t="array" aca="1" ref="AE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F29" s="7" t="e" cm="1">
        <f t="array" aca="1" ref="AF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G29" s="7" t="e" cm="1">
        <f t="array" aca="1" ref="AG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H29" s="7" t="e" cm="1">
        <f t="array" aca="1" ref="AH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I29" s="7" t="e" cm="1">
        <f t="array" aca="1" ref="AI29" ca="1">(_xlfn.SINGLE(SingleCoilTorque($F$19,$G$19,IF($I$19="",$H$19,INDEX(INDIRECT(_xlfn.CONCAT($I$19,"[Torque]")),MATCH(MIN(ABS(INDIRECT(_xlfn.CONCAT($I$19,"[RPM]"))-$R29*60/2/$C$6)),ABS(INDIRECT(_xlfn.CONCAT($I$19,"[RPM]"))-$R29*60/2/$C$6),0))*100),$J$19,$K$19,$L$19,$C$2,$N$19,$Q29))-$O$19)*$C$8</f>
        <v>#VALUE!</v>
      </c>
      <c r="AJ29" s="7">
        <f>$C$12</f>
        <v>23.8732414637843</v>
      </c>
      <c r="AL29">
        <f t="shared" si="2"/>
        <v>520</v>
      </c>
      <c r="AM29" s="7">
        <f>StepperPower($F$15,$G$15,$H$15,$J$15,$K$15,$L$15,$C$2,$N$15,$Q29)</f>
        <v>55.211598302687413</v>
      </c>
      <c r="AN29" s="7">
        <f>StepperPower($F$16,$G$16,$H$16,$J$16,$K$16,$L$16,$C$2,$N$16,$Q29)</f>
        <v>40.283698727015569</v>
      </c>
      <c r="AO29" s="7">
        <f>StepperPower($F$17,$G$17,$H$17,$J$17,$K$17,$L$17,$C$2,$N$17,$Q29)</f>
        <v>52.461598302687413</v>
      </c>
      <c r="AP29" s="7" t="e">
        <f>StepperPower($F$18,$G$18,$H$18,$J$18,$K$18,$L$18,$C$2,$N$18,$Q29)</f>
        <v>#VALUE!</v>
      </c>
      <c r="AQ29" s="7" t="e">
        <f>StepperPower($F$19,$G$19,$H$19,$J$19,$K$19,$L$19,$C$2,$N$19,$Q29)</f>
        <v>#VALUE!</v>
      </c>
      <c r="AR29" s="7" t="e">
        <f>StepperPower($F$20,$G$20,$H$20,$J$20,$K$20,$L$20,$C$2,$N$20,$Q29)</f>
        <v>#VALUE!</v>
      </c>
      <c r="AS29" s="7" t="e">
        <f>StepperPower($F$21,$G$21,$H$21,$J$21,$K$21,$L$21,$C$2,$N$21,$Q29)</f>
        <v>#VALUE!</v>
      </c>
      <c r="AT29" s="7" t="e">
        <f>StepperPower($F$22,$G$22,$H$22,$J$22,$K$22,$L$22,$C$2,$N$22,$Q29)</f>
        <v>#VALUE!</v>
      </c>
      <c r="AU29" s="7" t="e">
        <f>StepperPower($F$23,$G$23,$H$23,$J$23,$K$23,$L$23,$C$2,$N$23,$Q29)</f>
        <v>#VALUE!</v>
      </c>
      <c r="AV29" s="7" t="e">
        <f>StepperPower($F$24,$G$24,$H$24,$J$24,$K$24,$L$24,$C$2,$N$24,$Q29)</f>
        <v>#VALUE!</v>
      </c>
      <c r="AW29" s="7" t="e">
        <f>StepperPower($F$25,$G$25,$H$25,$J$25,$K$25,$L$25,$C$2,$N$25,$Q29)</f>
        <v>#VALUE!</v>
      </c>
      <c r="AX29" s="7" t="e">
        <f>StepperPower($F$26,$G$26,$H$26,$J$26,$K$26,$L$26,$C$2,$N$26,$Q29)</f>
        <v>#VALUE!</v>
      </c>
      <c r="AY29" s="7" t="e">
        <f>StepperPower($F$27,$G$27,$H$27,$J$27,$K$27,$L$27,$C$2,$N$27,$Q29)</f>
        <v>#VALUE!</v>
      </c>
      <c r="AZ29" s="7" t="e">
        <f>StepperPower($F$28,$G$28,$H$28,$J$28,$K$28,$L$28,$C$2,$N$28,$Q29)</f>
        <v>#VALUE!</v>
      </c>
      <c r="BA29" s="7" t="e">
        <f>StepperPower($F$29,$G$29,$H$29,$J$29,$K$29,$L$29,$C$2,$N$29,$Q29)</f>
        <v>#VALUE!</v>
      </c>
      <c r="BB29" s="7" t="e">
        <f>StepperPower($F$30,$G$30,$H$30,$J$30,$K$30,$L$30,$C$2,$N$30,$Q29)</f>
        <v>#VALUE!</v>
      </c>
      <c r="BC29" s="7"/>
    </row>
    <row r="30" spans="1:55" x14ac:dyDescent="0.25">
      <c r="A30" t="s">
        <v>58</v>
      </c>
      <c r="C30" s="1"/>
      <c r="D30" t="e">
        <f>VLOOKUP($C30,'Motor Database'!$A$3:$K$300,4,FALSE)</f>
        <v>#N/A</v>
      </c>
      <c r="E30" t="e">
        <f>VLOOKUP($C30,'Motor Database'!$A$3:$K$300,5,FALSE)</f>
        <v>#N/A</v>
      </c>
      <c r="F30" t="e">
        <f>VLOOKUP($C30,'Motor Database'!$A$3:$K$300,6,FALSE)</f>
        <v>#N/A</v>
      </c>
      <c r="G30" t="e">
        <f>VLOOKUP($C30,'Motor Database'!$A$3:$K$300,7,FALSE)</f>
        <v>#N/A</v>
      </c>
      <c r="H30" t="e">
        <f>VLOOKUP($C30,'Motor Database'!$A$3:$K$300,8,FALSE)</f>
        <v>#N/A</v>
      </c>
      <c r="I30" t="e">
        <f>IF(VLOOKUP($C30,'Motor Database'!$A$3:$L$300,12,FALSE)=0,"",VLOOKUP($C30,'Motor Database'!$A$3:$L$300,12,FALSE))</f>
        <v>#N/A</v>
      </c>
      <c r="J30" t="e">
        <f>VLOOKUP($C30,'Motor Database'!$A$3:$K$300,9,FALSE)</f>
        <v>#N/A</v>
      </c>
      <c r="K30" t="e">
        <f>VLOOKUP($C30,'Motor Database'!$A$3:$K$300,10,FALSE)</f>
        <v>#N/A</v>
      </c>
      <c r="L30" t="e">
        <f>VLOOKUP($C30,'Motor Database'!$A$3:$K$300,11,FALSE)</f>
        <v>#N/A</v>
      </c>
      <c r="M30" s="2" t="e">
        <f t="shared" si="4"/>
        <v>#N/A</v>
      </c>
      <c r="N30" s="2" t="e">
        <f>MIN($C$3,$C$4*$G30,$G30,M30)</f>
        <v>#N/A</v>
      </c>
      <c r="O30" s="2" t="e">
        <f>$C$10/($C$6*2)*2*PI()*(L30/(1000*100^2))*100</f>
        <v>#N/A</v>
      </c>
      <c r="Q30">
        <f t="shared" si="3"/>
        <v>13.5</v>
      </c>
      <c r="R30">
        <f t="shared" si="1"/>
        <v>540</v>
      </c>
      <c r="T30" s="7" cm="1">
        <f t="array" aca="1" ref="T30" ca="1">(_xlfn.SINGLE(SingleCoilTorque($F$15,$G$15,IF($I$15="",$H$15,INDEX(INDIRECT(_xlfn.CONCAT($I$15,"[Torque]")),MATCH(MIN(ABS(INDIRECT(_xlfn.CONCAT($I$15,"[RPM]"))-$R30*60/2/$C$6)),ABS(INDIRECT(_xlfn.CONCAT($I$15,"[RPM]"))-$R30*60/2/$C$6),0))*100),$J$15,$K$15,$L$15,$C$2,$N$15,$Q30))-$O$15)*$C$8</f>
        <v>37.900390347451292</v>
      </c>
      <c r="U30" s="7" cm="1">
        <f t="array" aca="1" ref="U30" ca="1">(_xlfn.SINGLE(SingleCoilTorque($F$16,$G$16,IF($I$16="",$H$16,INDEX(INDIRECT(_xlfn.CONCAT($I$16,"[Torque]")),MATCH(MIN(ABS(INDIRECT(_xlfn.CONCAT($I$16,"[RPM]"))-$R30*60/2/$C$6)),ABS(INDIRECT(_xlfn.CONCAT($I$16,"[RPM]"))-$R30*60/2/$C$6),0))*100),$J$16,$K$16,$L$16,$C$2,$N$16,$Q30))-$O$16)*$C$8</f>
        <v>50.923924614521376</v>
      </c>
      <c r="V30" s="7" cm="1">
        <f t="array" aca="1" ref="V30" ca="1">(_xlfn.SINGLE(SingleCoilTorque($F$17,$G$17,IF($I$17="",$H$17,INDEX(INDIRECT(_xlfn.CONCAT($I$17,"[Torque]")),MATCH(MIN(ABS(INDIRECT(_xlfn.CONCAT($I$17,"[RPM]"))-$R30*60/2/$C$6)),ABS(INDIRECT(_xlfn.CONCAT($I$17,"[RPM]"))-$R30*60/2/$C$6),0))*100),$J$17,$K$17,$L$17,$C$2,$N$17,$Q30))-$O$17)*$C$8</f>
        <v>46.148703781064889</v>
      </c>
      <c r="W30" s="7" t="e" cm="1">
        <f t="array" aca="1" ref="W30" ca="1">(_xlfn.SINGLE(SingleCoilTorque($F$18,$G$18,IF($I$18="",$H$18,INDEX(INDIRECT(_xlfn.CONCAT($I$18,"[Torque]")),MATCH(MIN(ABS(INDIRECT(_xlfn.CONCAT($I$18,"[RPM]"))-$R30*60/2/$C$6)),ABS(INDIRECT(_xlfn.CONCAT($I$18,"[RPM]"))-$R30*60/2/$C$6),0))*100),$J$18,$K$18,$L$18,$C$2,$N$18,$Q30))-$O$18)*$C$8</f>
        <v>#VALUE!</v>
      </c>
      <c r="X30" s="7" t="e" cm="1">
        <f t="array" aca="1" ref="X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Y30" s="7" t="e" cm="1">
        <f t="array" aca="1" ref="Y30" ca="1">(_xlfn.SINGLE(SingleCoilTorque($F$20,$G$20,IF($I$20="",$H$20,INDEX(INDIRECT(_xlfn.CONCAT($I$20,"[Torque]")),MATCH(MIN(ABS(INDIRECT(_xlfn.CONCAT($I$20,"[RPM]"))-$R30*60/2/$C$6)),ABS(INDIRECT(_xlfn.CONCAT($I$20,"[RPM]"))-$R30*60/2/$C$6),0))*100),$J$20,$K$20,$L$20,$C$2,$N$20,$Q30))-$O$20)*$C$8</f>
        <v>#VALUE!</v>
      </c>
      <c r="Z30" s="7" t="e" cm="1">
        <f t="array" aca="1" ref="Z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A30" s="7" t="e" cm="1">
        <f t="array" aca="1" ref="AA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B30" s="7" t="e" cm="1">
        <f t="array" aca="1" ref="AB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C30" s="7" t="e" cm="1">
        <f t="array" aca="1" ref="AC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D30" s="7" t="e" cm="1">
        <f t="array" aca="1" ref="AD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E30" s="7" t="e" cm="1">
        <f t="array" aca="1" ref="AE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F30" s="7" t="e" cm="1">
        <f t="array" aca="1" ref="AF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G30" s="7" t="e" cm="1">
        <f t="array" aca="1" ref="AG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H30" s="7" t="e" cm="1">
        <f t="array" aca="1" ref="AH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I30" s="7" t="e" cm="1">
        <f t="array" aca="1" ref="AI30" ca="1">(_xlfn.SINGLE(SingleCoilTorque($F$19,$G$19,IF($I$19="",$H$19,INDEX(INDIRECT(_xlfn.CONCAT($I$19,"[Torque]")),MATCH(MIN(ABS(INDIRECT(_xlfn.CONCAT($I$19,"[RPM]"))-$R30*60/2/$C$6)),ABS(INDIRECT(_xlfn.CONCAT($I$19,"[RPM]"))-$R30*60/2/$C$6),0))*100),$J$19,$K$19,$L$19,$C$2,$N$19,$Q30))-$O$19)*$C$8</f>
        <v>#VALUE!</v>
      </c>
      <c r="AJ30" s="7">
        <f>$C$12</f>
        <v>23.8732414637843</v>
      </c>
      <c r="AL30">
        <f t="shared" si="2"/>
        <v>540</v>
      </c>
      <c r="AM30" s="7">
        <f>StepperPower($F$15,$G$15,$H$15,$J$15,$K$15,$L$15,$C$2,$N$15,$Q30)</f>
        <v>56.988967468175389</v>
      </c>
      <c r="AN30" s="7">
        <f>StepperPower($F$16,$G$16,$H$16,$J$16,$K$16,$L$16,$C$2,$N$16,$Q30)</f>
        <v>41.616725601131549</v>
      </c>
      <c r="AO30" s="7">
        <f>StepperPower($F$17,$G$17,$H$17,$J$17,$K$17,$L$17,$C$2,$N$17,$Q30)</f>
        <v>54.238967468175396</v>
      </c>
      <c r="AP30" s="7" t="e">
        <f>StepperPower($F$18,$G$18,$H$18,$J$18,$K$18,$L$18,$C$2,$N$18,$Q30)</f>
        <v>#VALUE!</v>
      </c>
      <c r="AQ30" s="7" t="e">
        <f>StepperPower($F$19,$G$19,$H$19,$J$19,$K$19,$L$19,$C$2,$N$19,$Q30)</f>
        <v>#VALUE!</v>
      </c>
      <c r="AR30" s="7" t="e">
        <f>StepperPower($F$20,$G$20,$H$20,$J$20,$K$20,$L$20,$C$2,$N$20,$Q30)</f>
        <v>#VALUE!</v>
      </c>
      <c r="AS30" s="7" t="e">
        <f>StepperPower($F$21,$G$21,$H$21,$J$21,$K$21,$L$21,$C$2,$N$21,$Q30)</f>
        <v>#VALUE!</v>
      </c>
      <c r="AT30" s="7" t="e">
        <f>StepperPower($F$22,$G$22,$H$22,$J$22,$K$22,$L$22,$C$2,$N$22,$Q30)</f>
        <v>#VALUE!</v>
      </c>
      <c r="AU30" s="7" t="e">
        <f>StepperPower($F$23,$G$23,$H$23,$J$23,$K$23,$L$23,$C$2,$N$23,$Q30)</f>
        <v>#VALUE!</v>
      </c>
      <c r="AV30" s="7" t="e">
        <f>StepperPower($F$24,$G$24,$H$24,$J$24,$K$24,$L$24,$C$2,$N$24,$Q30)</f>
        <v>#VALUE!</v>
      </c>
      <c r="AW30" s="7" t="e">
        <f>StepperPower($F$25,$G$25,$H$25,$J$25,$K$25,$L$25,$C$2,$N$25,$Q30)</f>
        <v>#VALUE!</v>
      </c>
      <c r="AX30" s="7" t="e">
        <f>StepperPower($F$26,$G$26,$H$26,$J$26,$K$26,$L$26,$C$2,$N$26,$Q30)</f>
        <v>#VALUE!</v>
      </c>
      <c r="AY30" s="7" t="e">
        <f>StepperPower($F$27,$G$27,$H$27,$J$27,$K$27,$L$27,$C$2,$N$27,$Q30)</f>
        <v>#VALUE!</v>
      </c>
      <c r="AZ30" s="7" t="e">
        <f>StepperPower($F$28,$G$28,$H$28,$J$28,$K$28,$L$28,$C$2,$N$28,$Q30)</f>
        <v>#VALUE!</v>
      </c>
      <c r="BA30" s="7" t="e">
        <f>StepperPower($F$29,$G$29,$H$29,$J$29,$K$29,$L$29,$C$2,$N$29,$Q30)</f>
        <v>#VALUE!</v>
      </c>
      <c r="BB30" s="7" t="e">
        <f>StepperPower($F$30,$G$30,$H$30,$J$30,$K$30,$L$30,$C$2,$N$30,$Q30)</f>
        <v>#VALUE!</v>
      </c>
      <c r="BC30" s="7"/>
    </row>
    <row r="31" spans="1:55" x14ac:dyDescent="0.25">
      <c r="H31" t="e">
        <f>VLOOKUP($C31,'Motor Database'!$A$3:$K$300,8,FALSE)</f>
        <v>#N/A</v>
      </c>
      <c r="I31" t="e">
        <f>IF(VLOOKUP($C31,'Motor Database'!$A$3:$L$300,12,FALSE)=0,"",VLOOKUP($C31,'Motor Database'!$A$3:$L$300,12,FALSE))</f>
        <v>#N/A</v>
      </c>
      <c r="Q31">
        <f t="shared" si="3"/>
        <v>14</v>
      </c>
      <c r="R31">
        <f t="shared" si="1"/>
        <v>560</v>
      </c>
      <c r="T31" s="7" cm="1">
        <f t="array" aca="1" ref="T31" ca="1">(_xlfn.SINGLE(SingleCoilTorque($F$15,$G$15,IF($I$15="",$H$15,INDEX(INDIRECT(_xlfn.CONCAT($I$15,"[Torque]")),MATCH(MIN(ABS(INDIRECT(_xlfn.CONCAT($I$15,"[RPM]"))-$R31*60/2/$C$6)),ABS(INDIRECT(_xlfn.CONCAT($I$15,"[RPM]"))-$R31*60/2/$C$6),0))*100),$J$15,$K$15,$L$15,$C$2,$N$15,$Q31))-$O$15)*$C$8</f>
        <v>33.60053179016699</v>
      </c>
      <c r="U31" s="7" cm="1">
        <f t="array" aca="1" ref="U31" ca="1">(_xlfn.SINGLE(SingleCoilTorque($F$16,$G$16,IF($I$16="",$H$16,INDEX(INDIRECT(_xlfn.CONCAT($I$16,"[Torque]")),MATCH(MIN(ABS(INDIRECT(_xlfn.CONCAT($I$16,"[RPM]"))-$R31*60/2/$C$6)),ABS(INDIRECT(_xlfn.CONCAT($I$16,"[RPM]"))-$R31*60/2/$C$6),0))*100),$J$16,$K$16,$L$16,$C$2,$N$16,$Q31))-$O$16)*$C$8</f>
        <v>50.923924614521376</v>
      </c>
      <c r="V31" s="7" cm="1">
        <f t="array" aca="1" ref="V31" ca="1">(_xlfn.SINGLE(SingleCoilTorque($F$17,$G$17,IF($I$17="",$H$17,INDEX(INDIRECT(_xlfn.CONCAT($I$17,"[Torque]")),MATCH(MIN(ABS(INDIRECT(_xlfn.CONCAT($I$17,"[RPM]"))-$R31*60/2/$C$6)),ABS(INDIRECT(_xlfn.CONCAT($I$17,"[RPM]"))-$R31*60/2/$C$6),0))*100),$J$17,$K$17,$L$17,$C$2,$N$17,$Q31))-$O$17)*$C$8</f>
        <v>46.148703781064889</v>
      </c>
      <c r="W31" s="7" t="e" cm="1">
        <f t="array" aca="1" ref="W31" ca="1">(_xlfn.SINGLE(SingleCoilTorque($F$18,$G$18,IF($I$18="",$H$18,INDEX(INDIRECT(_xlfn.CONCAT($I$18,"[Torque]")),MATCH(MIN(ABS(INDIRECT(_xlfn.CONCAT($I$18,"[RPM]"))-$R31*60/2/$C$6)),ABS(INDIRECT(_xlfn.CONCAT($I$18,"[RPM]"))-$R31*60/2/$C$6),0))*100),$J$18,$K$18,$L$18,$C$2,$N$18,$Q31))-$O$18)*$C$8</f>
        <v>#VALUE!</v>
      </c>
      <c r="X31" s="7" t="e" cm="1">
        <f t="array" aca="1" ref="X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Y31" s="7" t="e" cm="1">
        <f t="array" aca="1" ref="Y31" ca="1">(_xlfn.SINGLE(SingleCoilTorque($F$20,$G$20,IF($I$20="",$H$20,INDEX(INDIRECT(_xlfn.CONCAT($I$20,"[Torque]")),MATCH(MIN(ABS(INDIRECT(_xlfn.CONCAT($I$20,"[RPM]"))-$R31*60/2/$C$6)),ABS(INDIRECT(_xlfn.CONCAT($I$20,"[RPM]"))-$R31*60/2/$C$6),0))*100),$J$20,$K$20,$L$20,$C$2,$N$20,$Q31))-$O$20)*$C$8</f>
        <v>#VALUE!</v>
      </c>
      <c r="Z31" s="7" t="e" cm="1">
        <f t="array" aca="1" ref="Z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A31" s="7" t="e" cm="1">
        <f t="array" aca="1" ref="AA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B31" s="7" t="e" cm="1">
        <f t="array" aca="1" ref="AB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C31" s="7" t="e" cm="1">
        <f t="array" aca="1" ref="AC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D31" s="7" t="e" cm="1">
        <f t="array" aca="1" ref="AD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E31" s="7" t="e" cm="1">
        <f t="array" aca="1" ref="AE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F31" s="7" t="e" cm="1">
        <f t="array" aca="1" ref="AF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G31" s="7" t="e" cm="1">
        <f t="array" aca="1" ref="AG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H31" s="7" t="e" cm="1">
        <f t="array" aca="1" ref="AH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I31" s="7" t="e" cm="1">
        <f t="array" aca="1" ref="AI31" ca="1">(_xlfn.SINGLE(SingleCoilTorque($F$19,$G$19,IF($I$19="",$H$19,INDEX(INDIRECT(_xlfn.CONCAT($I$19,"[Torque]")),MATCH(MIN(ABS(INDIRECT(_xlfn.CONCAT($I$19,"[RPM]"))-$R31*60/2/$C$6)),ABS(INDIRECT(_xlfn.CONCAT($I$19,"[RPM]"))-$R31*60/2/$C$6),0))*100),$J$19,$K$19,$L$19,$C$2,$N$19,$Q31))-$O$19)*$C$8</f>
        <v>#VALUE!</v>
      </c>
      <c r="AJ31" s="7">
        <f>$C$12</f>
        <v>23.8732414637843</v>
      </c>
      <c r="AL31">
        <f t="shared" si="2"/>
        <v>560</v>
      </c>
      <c r="AM31" s="7">
        <f>StepperPower($F$15,$G$15,$H$15,$J$15,$K$15,$L$15,$C$2,$N$15,$Q31)</f>
        <v>58.766336633663371</v>
      </c>
      <c r="AN31" s="7">
        <f>StepperPower($F$16,$G$16,$H$16,$J$16,$K$16,$L$16,$C$2,$N$16,$Q31)</f>
        <v>42.949752475247529</v>
      </c>
      <c r="AO31" s="7">
        <f>StepperPower($F$17,$G$17,$H$17,$J$17,$K$17,$L$17,$C$2,$N$17,$Q31)</f>
        <v>54.307242453515443</v>
      </c>
      <c r="AP31" s="7" t="e">
        <f>StepperPower($F$18,$G$18,$H$18,$J$18,$K$18,$L$18,$C$2,$N$18,$Q31)</f>
        <v>#VALUE!</v>
      </c>
      <c r="AQ31" s="7" t="e">
        <f>StepperPower($F$19,$G$19,$H$19,$J$19,$K$19,$L$19,$C$2,$N$19,$Q31)</f>
        <v>#VALUE!</v>
      </c>
      <c r="AR31" s="7" t="e">
        <f>StepperPower($F$20,$G$20,$H$20,$J$20,$K$20,$L$20,$C$2,$N$20,$Q31)</f>
        <v>#VALUE!</v>
      </c>
      <c r="AS31" s="7" t="e">
        <f>StepperPower($F$21,$G$21,$H$21,$J$21,$K$21,$L$21,$C$2,$N$21,$Q31)</f>
        <v>#VALUE!</v>
      </c>
      <c r="AT31" s="7" t="e">
        <f>StepperPower($F$22,$G$22,$H$22,$J$22,$K$22,$L$22,$C$2,$N$22,$Q31)</f>
        <v>#VALUE!</v>
      </c>
      <c r="AU31" s="7" t="e">
        <f>StepperPower($F$23,$G$23,$H$23,$J$23,$K$23,$L$23,$C$2,$N$23,$Q31)</f>
        <v>#VALUE!</v>
      </c>
      <c r="AV31" s="7" t="e">
        <f>StepperPower($F$24,$G$24,$H$24,$J$24,$K$24,$L$24,$C$2,$N$24,$Q31)</f>
        <v>#VALUE!</v>
      </c>
      <c r="AW31" s="7" t="e">
        <f>StepperPower($F$25,$G$25,$H$25,$J$25,$K$25,$L$25,$C$2,$N$25,$Q31)</f>
        <v>#VALUE!</v>
      </c>
      <c r="AX31" s="7" t="e">
        <f>StepperPower($F$26,$G$26,$H$26,$J$26,$K$26,$L$26,$C$2,$N$26,$Q31)</f>
        <v>#VALUE!</v>
      </c>
      <c r="AY31" s="7" t="e">
        <f>StepperPower($F$27,$G$27,$H$27,$J$27,$K$27,$L$27,$C$2,$N$27,$Q31)</f>
        <v>#VALUE!</v>
      </c>
      <c r="AZ31" s="7" t="e">
        <f>StepperPower($F$28,$G$28,$H$28,$J$28,$K$28,$L$28,$C$2,$N$28,$Q31)</f>
        <v>#VALUE!</v>
      </c>
      <c r="BA31" s="7" t="e">
        <f>StepperPower($F$29,$G$29,$H$29,$J$29,$K$29,$L$29,$C$2,$N$29,$Q31)</f>
        <v>#VALUE!</v>
      </c>
      <c r="BB31" s="7" t="e">
        <f>StepperPower($F$30,$G$30,$H$30,$J$30,$K$30,$L$30,$C$2,$N$30,$Q31)</f>
        <v>#VALUE!</v>
      </c>
      <c r="BC31" s="7"/>
    </row>
    <row r="32" spans="1:55" x14ac:dyDescent="0.25">
      <c r="Q32">
        <f t="shared" si="3"/>
        <v>14.5</v>
      </c>
      <c r="R32">
        <f t="shared" si="1"/>
        <v>580</v>
      </c>
      <c r="T32" s="7" cm="1">
        <f t="array" aca="1" ref="T32" ca="1">(_xlfn.SINGLE(SingleCoilTorque($F$15,$G$15,IF($I$15="",$H$15,INDEX(INDIRECT(_xlfn.CONCAT($I$15,"[Torque]")),MATCH(MIN(ABS(INDIRECT(_xlfn.CONCAT($I$15,"[RPM]"))-$R32*60/2/$C$6)),ABS(INDIRECT(_xlfn.CONCAT($I$15,"[RPM]"))-$R32*60/2/$C$6),0))*100),$J$15,$K$15,$L$15,$C$2,$N$15,$Q32))-$O$15)*$C$8</f>
        <v>33.60053179016699</v>
      </c>
      <c r="U32" s="7" cm="1">
        <f t="array" aca="1" ref="U32" ca="1">(_xlfn.SINGLE(SingleCoilTorque($F$16,$G$16,IF($I$16="",$H$16,INDEX(INDIRECT(_xlfn.CONCAT($I$16,"[Torque]")),MATCH(MIN(ABS(INDIRECT(_xlfn.CONCAT($I$16,"[RPM]"))-$R32*60/2/$C$6)),ABS(INDIRECT(_xlfn.CONCAT($I$16,"[RPM]"))-$R32*60/2/$C$6),0))*100),$J$16,$K$16,$L$16,$C$2,$N$16,$Q32))-$O$16)*$C$8</f>
        <v>47.529299437717974</v>
      </c>
      <c r="V32" s="7" cm="1">
        <f t="array" aca="1" ref="V32" ca="1">(_xlfn.SINGLE(SingleCoilTorque($F$17,$G$17,IF($I$17="",$H$17,INDEX(INDIRECT(_xlfn.CONCAT($I$17,"[Torque]")),MATCH(MIN(ABS(INDIRECT(_xlfn.CONCAT($I$17,"[RPM]"))-$R32*60/2/$C$6)),ABS(INDIRECT(_xlfn.CONCAT($I$17,"[RPM]"))-$R32*60/2/$C$6),0))*100),$J$17,$K$17,$L$17,$C$2,$N$17,$Q32))-$O$17)*$C$8</f>
        <v>41.848845223780586</v>
      </c>
      <c r="W32" s="7" t="e" cm="1">
        <f t="array" aca="1" ref="W32" ca="1">(_xlfn.SINGLE(SingleCoilTorque($F$18,$G$18,IF($I$18="",$H$18,INDEX(INDIRECT(_xlfn.CONCAT($I$18,"[Torque]")),MATCH(MIN(ABS(INDIRECT(_xlfn.CONCAT($I$18,"[RPM]"))-$R32*60/2/$C$6)),ABS(INDIRECT(_xlfn.CONCAT($I$18,"[RPM]"))-$R32*60/2/$C$6),0))*100),$J$18,$K$18,$L$18,$C$2,$N$18,$Q32))-$O$18)*$C$8</f>
        <v>#VALUE!</v>
      </c>
      <c r="X32" s="7" t="e" cm="1">
        <f t="array" aca="1" ref="X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Y32" s="7" t="e" cm="1">
        <f t="array" aca="1" ref="Y32" ca="1">(_xlfn.SINGLE(SingleCoilTorque($F$20,$G$20,IF($I$20="",$H$20,INDEX(INDIRECT(_xlfn.CONCAT($I$20,"[Torque]")),MATCH(MIN(ABS(INDIRECT(_xlfn.CONCAT($I$20,"[RPM]"))-$R32*60/2/$C$6)),ABS(INDIRECT(_xlfn.CONCAT($I$20,"[RPM]"))-$R32*60/2/$C$6),0))*100),$J$20,$K$20,$L$20,$C$2,$N$20,$Q32))-$O$20)*$C$8</f>
        <v>#VALUE!</v>
      </c>
      <c r="Z32" s="7" t="e" cm="1">
        <f t="array" aca="1" ref="Z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A32" s="7" t="e" cm="1">
        <f t="array" aca="1" ref="AA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B32" s="7" t="e" cm="1">
        <f t="array" aca="1" ref="AB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C32" s="7" t="e" cm="1">
        <f t="array" aca="1" ref="AC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D32" s="7" t="e" cm="1">
        <f t="array" aca="1" ref="AD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E32" s="7" t="e" cm="1">
        <f t="array" aca="1" ref="AE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F32" s="7" t="e" cm="1">
        <f t="array" aca="1" ref="AF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G32" s="7" t="e" cm="1">
        <f t="array" aca="1" ref="AG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H32" s="7" t="e" cm="1">
        <f t="array" aca="1" ref="AH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I32" s="7" t="e" cm="1">
        <f t="array" aca="1" ref="AI32" ca="1">(_xlfn.SINGLE(SingleCoilTorque($F$19,$G$19,IF($I$19="",$H$19,INDEX(INDIRECT(_xlfn.CONCAT($I$19,"[Torque]")),MATCH(MIN(ABS(INDIRECT(_xlfn.CONCAT($I$19,"[RPM]"))-$R32*60/2/$C$6)),ABS(INDIRECT(_xlfn.CONCAT($I$19,"[RPM]"))-$R32*60/2/$C$6),0))*100),$J$19,$K$19,$L$19,$C$2,$N$19,$Q32))-$O$19)*$C$8</f>
        <v>#VALUE!</v>
      </c>
      <c r="AJ32" s="7">
        <f>$C$12</f>
        <v>23.8732414637843</v>
      </c>
      <c r="AL32">
        <f t="shared" si="2"/>
        <v>580</v>
      </c>
      <c r="AM32" s="7">
        <f>StepperPower($F$15,$G$15,$H$15,$J$15,$K$15,$L$15,$C$2,$N$15,$Q32)</f>
        <v>60.543705799151354</v>
      </c>
      <c r="AN32" s="7">
        <f>StepperPower($F$16,$G$16,$H$16,$J$16,$K$16,$L$16,$C$2,$N$16,$Q32)</f>
        <v>44.282779349363508</v>
      </c>
      <c r="AO32" s="7">
        <f>StepperPower($F$17,$G$17,$H$17,$J$17,$K$17,$L$17,$C$2,$N$17,$Q32)</f>
        <v>52.579106025570681</v>
      </c>
      <c r="AP32" s="7" t="e">
        <f>StepperPower($F$18,$G$18,$H$18,$J$18,$K$18,$L$18,$C$2,$N$18,$Q32)</f>
        <v>#VALUE!</v>
      </c>
      <c r="AQ32" s="7" t="e">
        <f>StepperPower($F$19,$G$19,$H$19,$J$19,$K$19,$L$19,$C$2,$N$19,$Q32)</f>
        <v>#VALUE!</v>
      </c>
      <c r="AR32" s="7" t="e">
        <f>StepperPower($F$20,$G$20,$H$20,$J$20,$K$20,$L$20,$C$2,$N$20,$Q32)</f>
        <v>#VALUE!</v>
      </c>
      <c r="AS32" s="7" t="e">
        <f>StepperPower($F$21,$G$21,$H$21,$J$21,$K$21,$L$21,$C$2,$N$21,$Q32)</f>
        <v>#VALUE!</v>
      </c>
      <c r="AT32" s="7" t="e">
        <f>StepperPower($F$22,$G$22,$H$22,$J$22,$K$22,$L$22,$C$2,$N$22,$Q32)</f>
        <v>#VALUE!</v>
      </c>
      <c r="AU32" s="7" t="e">
        <f>StepperPower($F$23,$G$23,$H$23,$J$23,$K$23,$L$23,$C$2,$N$23,$Q32)</f>
        <v>#VALUE!</v>
      </c>
      <c r="AV32" s="7" t="e">
        <f>StepperPower($F$24,$G$24,$H$24,$J$24,$K$24,$L$24,$C$2,$N$24,$Q32)</f>
        <v>#VALUE!</v>
      </c>
      <c r="AW32" s="7" t="e">
        <f>StepperPower($F$25,$G$25,$H$25,$J$25,$K$25,$L$25,$C$2,$N$25,$Q32)</f>
        <v>#VALUE!</v>
      </c>
      <c r="AX32" s="7" t="e">
        <f>StepperPower($F$26,$G$26,$H$26,$J$26,$K$26,$L$26,$C$2,$N$26,$Q32)</f>
        <v>#VALUE!</v>
      </c>
      <c r="AY32" s="7" t="e">
        <f>StepperPower($F$27,$G$27,$H$27,$J$27,$K$27,$L$27,$C$2,$N$27,$Q32)</f>
        <v>#VALUE!</v>
      </c>
      <c r="AZ32" s="7" t="e">
        <f>StepperPower($F$28,$G$28,$H$28,$J$28,$K$28,$L$28,$C$2,$N$28,$Q32)</f>
        <v>#VALUE!</v>
      </c>
      <c r="BA32" s="7" t="e">
        <f>StepperPower($F$29,$G$29,$H$29,$J$29,$K$29,$L$29,$C$2,$N$29,$Q32)</f>
        <v>#VALUE!</v>
      </c>
      <c r="BB32" s="7" t="e">
        <f>StepperPower($F$30,$G$30,$H$30,$J$30,$K$30,$L$30,$C$2,$N$30,$Q32)</f>
        <v>#VALUE!</v>
      </c>
      <c r="BC32" s="7"/>
    </row>
    <row r="33" spans="3:55" x14ac:dyDescent="0.25">
      <c r="Q33">
        <f t="shared" si="3"/>
        <v>15</v>
      </c>
      <c r="R33">
        <f t="shared" si="1"/>
        <v>600</v>
      </c>
      <c r="T33" s="7" cm="1">
        <f t="array" aca="1" ref="T33" ca="1">(_xlfn.SINGLE(SingleCoilTorque($F$15,$G$15,IF($I$15="",$H$15,INDEX(INDIRECT(_xlfn.CONCAT($I$15,"[Torque]")),MATCH(MIN(ABS(INDIRECT(_xlfn.CONCAT($I$15,"[RPM]"))-$R33*60/2/$C$6)),ABS(INDIRECT(_xlfn.CONCAT($I$15,"[RPM]"))-$R33*60/2/$C$6),0))*100),$J$15,$K$15,$L$15,$C$2,$N$15,$Q33))-$O$15)*$C$8</f>
        <v>30.432214958483826</v>
      </c>
      <c r="U33" s="7" cm="1">
        <f t="array" aca="1" ref="U33" ca="1">(_xlfn.SINGLE(SingleCoilTorque($F$16,$G$16,IF($I$16="",$H$16,INDEX(INDIRECT(_xlfn.CONCAT($I$16,"[Torque]")),MATCH(MIN(ABS(INDIRECT(_xlfn.CONCAT($I$16,"[RPM]"))-$R33*60/2/$C$6)),ABS(INDIRECT(_xlfn.CONCAT($I$16,"[RPM]"))-$R33*60/2/$C$6),0))*100),$J$16,$K$16,$L$16,$C$2,$N$16,$Q33))-$O$16)*$C$8</f>
        <v>47.529299437717974</v>
      </c>
      <c r="V33" s="7" cm="1">
        <f t="array" aca="1" ref="V33" ca="1">(_xlfn.SINGLE(SingleCoilTorque($F$17,$G$17,IF($I$17="",$H$17,INDEX(INDIRECT(_xlfn.CONCAT($I$17,"[Torque]")),MATCH(MIN(ABS(INDIRECT(_xlfn.CONCAT($I$17,"[RPM]"))-$R33*60/2/$C$6)),ABS(INDIRECT(_xlfn.CONCAT($I$17,"[RPM]"))-$R33*60/2/$C$6),0))*100),$J$17,$K$17,$L$17,$C$2,$N$17,$Q33))-$O$17)*$C$8</f>
        <v>41.848845223780586</v>
      </c>
      <c r="W33" s="7" t="e" cm="1">
        <f t="array" aca="1" ref="W33" ca="1">(_xlfn.SINGLE(SingleCoilTorque($F$18,$G$18,IF($I$18="",$H$18,INDEX(INDIRECT(_xlfn.CONCAT($I$18,"[Torque]")),MATCH(MIN(ABS(INDIRECT(_xlfn.CONCAT($I$18,"[RPM]"))-$R33*60/2/$C$6)),ABS(INDIRECT(_xlfn.CONCAT($I$18,"[RPM]"))-$R33*60/2/$C$6),0))*100),$J$18,$K$18,$L$18,$C$2,$N$18,$Q33))-$O$18)*$C$8</f>
        <v>#VALUE!</v>
      </c>
      <c r="X33" s="7" t="e" cm="1">
        <f t="array" aca="1" ref="X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Y33" s="7" t="e" cm="1">
        <f t="array" aca="1" ref="Y33" ca="1">(_xlfn.SINGLE(SingleCoilTorque($F$20,$G$20,IF($I$20="",$H$20,INDEX(INDIRECT(_xlfn.CONCAT($I$20,"[Torque]")),MATCH(MIN(ABS(INDIRECT(_xlfn.CONCAT($I$20,"[RPM]"))-$R33*60/2/$C$6)),ABS(INDIRECT(_xlfn.CONCAT($I$20,"[RPM]"))-$R33*60/2/$C$6),0))*100),$J$20,$K$20,$L$20,$C$2,$N$20,$Q33))-$O$20)*$C$8</f>
        <v>#VALUE!</v>
      </c>
      <c r="Z33" s="7" t="e" cm="1">
        <f t="array" aca="1" ref="Z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A33" s="7" t="e" cm="1">
        <f t="array" aca="1" ref="AA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B33" s="7" t="e" cm="1">
        <f t="array" aca="1" ref="AB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C33" s="7" t="e" cm="1">
        <f t="array" aca="1" ref="AC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D33" s="7" t="e" cm="1">
        <f t="array" aca="1" ref="AD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E33" s="7" t="e" cm="1">
        <f t="array" aca="1" ref="AE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F33" s="7" t="e" cm="1">
        <f t="array" aca="1" ref="AF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G33" s="7" t="e" cm="1">
        <f t="array" aca="1" ref="AG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H33" s="7" t="e" cm="1">
        <f t="array" aca="1" ref="AH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I33" s="7" t="e" cm="1">
        <f t="array" aca="1" ref="AI33" ca="1">(_xlfn.SINGLE(SingleCoilTorque($F$19,$G$19,IF($I$19="",$H$19,INDEX(INDIRECT(_xlfn.CONCAT($I$19,"[Torque]")),MATCH(MIN(ABS(INDIRECT(_xlfn.CONCAT($I$19,"[RPM]"))-$R33*60/2/$C$6)),ABS(INDIRECT(_xlfn.CONCAT($I$19,"[RPM]"))-$R33*60/2/$C$6),0))*100),$J$19,$K$19,$L$19,$C$2,$N$19,$Q33))-$O$19)*$C$8</f>
        <v>#VALUE!</v>
      </c>
      <c r="AJ33" s="7">
        <f>$C$12</f>
        <v>23.8732414637843</v>
      </c>
      <c r="AL33">
        <f t="shared" si="2"/>
        <v>600</v>
      </c>
      <c r="AM33" s="7">
        <f>StepperPower($F$15,$G$15,$H$15,$J$15,$K$15,$L$15,$C$2,$N$15,$Q33)</f>
        <v>62.32107496463933</v>
      </c>
      <c r="AN33" s="7">
        <f>StepperPower($F$16,$G$16,$H$16,$J$16,$K$16,$L$16,$C$2,$N$16,$Q33)</f>
        <v>45.615806223479495</v>
      </c>
      <c r="AO33" s="7">
        <f>StepperPower($F$17,$G$17,$H$17,$J$17,$K$17,$L$17,$C$2,$N$17,$Q33)</f>
        <v>50.908551410088492</v>
      </c>
      <c r="AP33" s="7" t="e">
        <f>StepperPower($F$18,$G$18,$H$18,$J$18,$K$18,$L$18,$C$2,$N$18,$Q33)</f>
        <v>#VALUE!</v>
      </c>
      <c r="AQ33" s="7" t="e">
        <f>StepperPower($F$19,$G$19,$H$19,$J$19,$K$19,$L$19,$C$2,$N$19,$Q33)</f>
        <v>#VALUE!</v>
      </c>
      <c r="AR33" s="7" t="e">
        <f>StepperPower($F$20,$G$20,$H$20,$J$20,$K$20,$L$20,$C$2,$N$20,$Q33)</f>
        <v>#VALUE!</v>
      </c>
      <c r="AS33" s="7" t="e">
        <f>StepperPower($F$21,$G$21,$H$21,$J$21,$K$21,$L$21,$C$2,$N$21,$Q33)</f>
        <v>#VALUE!</v>
      </c>
      <c r="AT33" s="7" t="e">
        <f>StepperPower($F$22,$G$22,$H$22,$J$22,$K$22,$L$22,$C$2,$N$22,$Q33)</f>
        <v>#VALUE!</v>
      </c>
      <c r="AU33" s="7" t="e">
        <f>StepperPower($F$23,$G$23,$H$23,$J$23,$K$23,$L$23,$C$2,$N$23,$Q33)</f>
        <v>#VALUE!</v>
      </c>
      <c r="AV33" s="7" t="e">
        <f>StepperPower($F$24,$G$24,$H$24,$J$24,$K$24,$L$24,$C$2,$N$24,$Q33)</f>
        <v>#VALUE!</v>
      </c>
      <c r="AW33" s="7" t="e">
        <f>StepperPower($F$25,$G$25,$H$25,$J$25,$K$25,$L$25,$C$2,$N$25,$Q33)</f>
        <v>#VALUE!</v>
      </c>
      <c r="AX33" s="7" t="e">
        <f>StepperPower($F$26,$G$26,$H$26,$J$26,$K$26,$L$26,$C$2,$N$26,$Q33)</f>
        <v>#VALUE!</v>
      </c>
      <c r="AY33" s="7" t="e">
        <f>StepperPower($F$27,$G$27,$H$27,$J$27,$K$27,$L$27,$C$2,$N$27,$Q33)</f>
        <v>#VALUE!</v>
      </c>
      <c r="AZ33" s="7" t="e">
        <f>StepperPower($F$28,$G$28,$H$28,$J$28,$K$28,$L$28,$C$2,$N$28,$Q33)</f>
        <v>#VALUE!</v>
      </c>
      <c r="BA33" s="7" t="e">
        <f>StepperPower($F$29,$G$29,$H$29,$J$29,$K$29,$L$29,$C$2,$N$29,$Q33)</f>
        <v>#VALUE!</v>
      </c>
      <c r="BB33" s="7" t="e">
        <f>StepperPower($F$30,$G$30,$H$30,$J$30,$K$30,$L$30,$C$2,$N$30,$Q33)</f>
        <v>#VALUE!</v>
      </c>
      <c r="BC33" s="7"/>
    </row>
    <row r="34" spans="3:55" x14ac:dyDescent="0.25">
      <c r="Q34">
        <f t="shared" si="3"/>
        <v>15.5</v>
      </c>
      <c r="R34">
        <f t="shared" si="1"/>
        <v>620</v>
      </c>
      <c r="T34" s="7" cm="1">
        <f t="array" aca="1" ref="T34" ca="1">(_xlfn.SINGLE(SingleCoilTorque($F$15,$G$15,IF($I$15="",$H$15,INDEX(INDIRECT(_xlfn.CONCAT($I$15,"[Torque]")),MATCH(MIN(ABS(INDIRECT(_xlfn.CONCAT($I$15,"[RPM]"))-$R34*60/2/$C$6)),ABS(INDIRECT(_xlfn.CONCAT($I$15,"[RPM]"))-$R34*60/2/$C$6),0))*100),$J$15,$K$15,$L$15,$C$2,$N$15,$Q34))-$O$15)*$C$8</f>
        <v>30.432214958483826</v>
      </c>
      <c r="U34" s="7" cm="1">
        <f t="array" aca="1" ref="U34" ca="1">(_xlfn.SINGLE(SingleCoilTorque($F$16,$G$16,IF($I$16="",$H$16,INDEX(INDIRECT(_xlfn.CONCAT($I$16,"[Torque]")),MATCH(MIN(ABS(INDIRECT(_xlfn.CONCAT($I$16,"[RPM]"))-$R34*60/2/$C$6)),ABS(INDIRECT(_xlfn.CONCAT($I$16,"[RPM]"))-$R34*60/2/$C$6),0))*100),$J$16,$K$16,$L$16,$C$2,$N$16,$Q34))-$O$16)*$C$8</f>
        <v>47.529299437717974</v>
      </c>
      <c r="V34" s="7" cm="1">
        <f t="array" aca="1" ref="V34" ca="1">(_xlfn.SINGLE(SingleCoilTorque($F$17,$G$17,IF($I$17="",$H$17,INDEX(INDIRECT(_xlfn.CONCAT($I$17,"[Torque]")),MATCH(MIN(ABS(INDIRECT(_xlfn.CONCAT($I$17,"[RPM]"))-$R34*60/2/$C$6)),ABS(INDIRECT(_xlfn.CONCAT($I$17,"[RPM]"))-$R34*60/2/$C$6),0))*100),$J$17,$K$17,$L$17,$C$2,$N$17,$Q34))-$O$17)*$C$8</f>
        <v>41.848845223780586</v>
      </c>
      <c r="W34" s="7" t="e" cm="1">
        <f t="array" aca="1" ref="W34" ca="1">(_xlfn.SINGLE(SingleCoilTorque($F$18,$G$18,IF($I$18="",$H$18,INDEX(INDIRECT(_xlfn.CONCAT($I$18,"[Torque]")),MATCH(MIN(ABS(INDIRECT(_xlfn.CONCAT($I$18,"[RPM]"))-$R34*60/2/$C$6)),ABS(INDIRECT(_xlfn.CONCAT($I$18,"[RPM]"))-$R34*60/2/$C$6),0))*100),$J$18,$K$18,$L$18,$C$2,$N$18,$Q34))-$O$18)*$C$8</f>
        <v>#VALUE!</v>
      </c>
      <c r="X34" s="7" t="e" cm="1">
        <f t="array" aca="1" ref="X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Y34" s="7" t="e" cm="1">
        <f t="array" aca="1" ref="Y34" ca="1">(_xlfn.SINGLE(SingleCoilTorque($F$20,$G$20,IF($I$20="",$H$20,INDEX(INDIRECT(_xlfn.CONCAT($I$20,"[Torque]")),MATCH(MIN(ABS(INDIRECT(_xlfn.CONCAT($I$20,"[RPM]"))-$R34*60/2/$C$6)),ABS(INDIRECT(_xlfn.CONCAT($I$20,"[RPM]"))-$R34*60/2/$C$6),0))*100),$J$20,$K$20,$L$20,$C$2,$N$20,$Q34))-$O$20)*$C$8</f>
        <v>#VALUE!</v>
      </c>
      <c r="Z34" s="7" t="e" cm="1">
        <f t="array" aca="1" ref="Z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A34" s="7" t="e" cm="1">
        <f t="array" aca="1" ref="AA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B34" s="7" t="e" cm="1">
        <f t="array" aca="1" ref="AB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C34" s="7" t="e" cm="1">
        <f t="array" aca="1" ref="AC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D34" s="7" t="e" cm="1">
        <f t="array" aca="1" ref="AD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E34" s="7" t="e" cm="1">
        <f t="array" aca="1" ref="AE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F34" s="7" t="e" cm="1">
        <f t="array" aca="1" ref="AF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G34" s="7" t="e" cm="1">
        <f t="array" aca="1" ref="AG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H34" s="7" t="e" cm="1">
        <f t="array" aca="1" ref="AH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I34" s="7" t="e" cm="1">
        <f t="array" aca="1" ref="AI34" ca="1">(_xlfn.SINGLE(SingleCoilTorque($F$19,$G$19,IF($I$19="",$H$19,INDEX(INDIRECT(_xlfn.CONCAT($I$19,"[Torque]")),MATCH(MIN(ABS(INDIRECT(_xlfn.CONCAT($I$19,"[RPM]"))-$R34*60/2/$C$6)),ABS(INDIRECT(_xlfn.CONCAT($I$19,"[RPM]"))-$R34*60/2/$C$6),0))*100),$J$19,$K$19,$L$19,$C$2,$N$19,$Q34))-$O$19)*$C$8</f>
        <v>#VALUE!</v>
      </c>
      <c r="AJ34" s="7">
        <f>$C$12</f>
        <v>23.8732414637843</v>
      </c>
      <c r="AL34">
        <f t="shared" si="2"/>
        <v>620</v>
      </c>
      <c r="AM34" s="7">
        <f>StepperPower($F$15,$G$15,$H$15,$J$15,$K$15,$L$15,$C$2,$N$15,$Q34)</f>
        <v>64.098444130127305</v>
      </c>
      <c r="AN34" s="7">
        <f>StepperPower($F$16,$G$16,$H$16,$J$16,$K$16,$L$16,$C$2,$N$16,$Q34)</f>
        <v>46.948833097595475</v>
      </c>
      <c r="AO34" s="7">
        <f>StepperPower($F$17,$G$17,$H$17,$J$17,$K$17,$L$17,$C$2,$N$17,$Q34)</f>
        <v>49.287516991165511</v>
      </c>
      <c r="AP34" s="7" t="e">
        <f>StepperPower($F$18,$G$18,$H$18,$J$18,$K$18,$L$18,$C$2,$N$18,$Q34)</f>
        <v>#VALUE!</v>
      </c>
      <c r="AQ34" s="7" t="e">
        <f>StepperPower($F$19,$G$19,$H$19,$J$19,$K$19,$L$19,$C$2,$N$19,$Q34)</f>
        <v>#VALUE!</v>
      </c>
      <c r="AR34" s="7" t="e">
        <f>StepperPower($F$20,$G$20,$H$20,$J$20,$K$20,$L$20,$C$2,$N$20,$Q34)</f>
        <v>#VALUE!</v>
      </c>
      <c r="AS34" s="7" t="e">
        <f>StepperPower($F$21,$G$21,$H$21,$J$21,$K$21,$L$21,$C$2,$N$21,$Q34)</f>
        <v>#VALUE!</v>
      </c>
      <c r="AT34" s="7" t="e">
        <f>StepperPower($F$22,$G$22,$H$22,$J$22,$K$22,$L$22,$C$2,$N$22,$Q34)</f>
        <v>#VALUE!</v>
      </c>
      <c r="AU34" s="7" t="e">
        <f>StepperPower($F$23,$G$23,$H$23,$J$23,$K$23,$L$23,$C$2,$N$23,$Q34)</f>
        <v>#VALUE!</v>
      </c>
      <c r="AV34" s="7" t="e">
        <f>StepperPower($F$24,$G$24,$H$24,$J$24,$K$24,$L$24,$C$2,$N$24,$Q34)</f>
        <v>#VALUE!</v>
      </c>
      <c r="AW34" s="7" t="e">
        <f>StepperPower($F$25,$G$25,$H$25,$J$25,$K$25,$L$25,$C$2,$N$25,$Q34)</f>
        <v>#VALUE!</v>
      </c>
      <c r="AX34" s="7" t="e">
        <f>StepperPower($F$26,$G$26,$H$26,$J$26,$K$26,$L$26,$C$2,$N$26,$Q34)</f>
        <v>#VALUE!</v>
      </c>
      <c r="AY34" s="7" t="e">
        <f>StepperPower($F$27,$G$27,$H$27,$J$27,$K$27,$L$27,$C$2,$N$27,$Q34)</f>
        <v>#VALUE!</v>
      </c>
      <c r="AZ34" s="7" t="e">
        <f>StepperPower($F$28,$G$28,$H$28,$J$28,$K$28,$L$28,$C$2,$N$28,$Q34)</f>
        <v>#VALUE!</v>
      </c>
      <c r="BA34" s="7" t="e">
        <f>StepperPower($F$29,$G$29,$H$29,$J$29,$K$29,$L$29,$C$2,$N$29,$Q34)</f>
        <v>#VALUE!</v>
      </c>
      <c r="BB34" s="7" t="e">
        <f>StepperPower($F$30,$G$30,$H$30,$J$30,$K$30,$L$30,$C$2,$N$30,$Q34)</f>
        <v>#VALUE!</v>
      </c>
      <c r="BC34" s="7"/>
    </row>
    <row r="35" spans="3:55" x14ac:dyDescent="0.25">
      <c r="Q35">
        <f t="shared" si="3"/>
        <v>16</v>
      </c>
      <c r="R35">
        <f t="shared" ref="R35:R66" si="6">Q35*$C$6*2/$C$7</f>
        <v>640</v>
      </c>
      <c r="T35" s="7" cm="1">
        <f t="array" aca="1" ref="T35" ca="1">(_xlfn.SINGLE(SingleCoilTorque($F$15,$G$15,IF($I$15="",$H$15,INDEX(INDIRECT(_xlfn.CONCAT($I$15,"[Torque]")),MATCH(MIN(ABS(INDIRECT(_xlfn.CONCAT($I$15,"[RPM]"))-$R35*60/2/$C$6)),ABS(INDIRECT(_xlfn.CONCAT($I$15,"[RPM]"))-$R35*60/2/$C$6),0))*100),$J$15,$K$15,$L$15,$C$2,$N$15,$Q35))-$O$15)*$C$8</f>
        <v>27.490206471920882</v>
      </c>
      <c r="U35" s="7" cm="1">
        <f t="array" aca="1" ref="U35" ca="1">(_xlfn.SINGLE(SingleCoilTorque($F$16,$G$16,IF($I$16="",$H$16,INDEX(INDIRECT(_xlfn.CONCAT($I$16,"[Torque]")),MATCH(MIN(ABS(INDIRECT(_xlfn.CONCAT($I$16,"[RPM]"))-$R35*60/2/$C$6)),ABS(INDIRECT(_xlfn.CONCAT($I$16,"[RPM]"))-$R35*60/2/$C$6),0))*100),$J$16,$K$16,$L$16,$C$2,$N$16,$Q35))-$O$16)*$C$8</f>
        <v>43.56890339811401</v>
      </c>
      <c r="V35" s="7" cm="1">
        <f t="array" aca="1" ref="V35" ca="1">(_xlfn.SINGLE(SingleCoilTorque($F$17,$G$17,IF($I$17="",$H$17,INDEX(INDIRECT(_xlfn.CONCAT($I$17,"[Torque]")),MATCH(MIN(ABS(INDIRECT(_xlfn.CONCAT($I$17,"[RPM]"))-$R35*60/2/$C$6)),ABS(INDIRECT(_xlfn.CONCAT($I$17,"[RPM]"))-$R35*60/2/$C$6),0))*100),$J$17,$K$17,$L$17,$C$2,$N$17,$Q35))-$O$17)*$C$8</f>
        <v>36.530599113455267</v>
      </c>
      <c r="W35" s="7" t="e" cm="1">
        <f t="array" aca="1" ref="W35" ca="1">(_xlfn.SINGLE(SingleCoilTorque($F$18,$G$18,IF($I$18="",$H$18,INDEX(INDIRECT(_xlfn.CONCAT($I$18,"[Torque]")),MATCH(MIN(ABS(INDIRECT(_xlfn.CONCAT($I$18,"[RPM]"))-$R35*60/2/$C$6)),ABS(INDIRECT(_xlfn.CONCAT($I$18,"[RPM]"))-$R35*60/2/$C$6),0))*100),$J$18,$K$18,$L$18,$C$2,$N$18,$Q35))-$O$18)*$C$8</f>
        <v>#VALUE!</v>
      </c>
      <c r="X35" s="7" t="e" cm="1">
        <f t="array" aca="1" ref="X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Y35" s="7" t="e" cm="1">
        <f t="array" aca="1" ref="Y35" ca="1">(_xlfn.SINGLE(SingleCoilTorque($F$20,$G$20,IF($I$20="",$H$20,INDEX(INDIRECT(_xlfn.CONCAT($I$20,"[Torque]")),MATCH(MIN(ABS(INDIRECT(_xlfn.CONCAT($I$20,"[RPM]"))-$R35*60/2/$C$6)),ABS(INDIRECT(_xlfn.CONCAT($I$20,"[RPM]"))-$R35*60/2/$C$6),0))*100),$J$20,$K$20,$L$20,$C$2,$N$20,$Q35))-$O$20)*$C$8</f>
        <v>#VALUE!</v>
      </c>
      <c r="Z35" s="7" t="e" cm="1">
        <f t="array" aca="1" ref="Z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A35" s="7" t="e" cm="1">
        <f t="array" aca="1" ref="AA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B35" s="7" t="e" cm="1">
        <f t="array" aca="1" ref="AB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C35" s="7" t="e" cm="1">
        <f t="array" aca="1" ref="AC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D35" s="7" t="e" cm="1">
        <f t="array" aca="1" ref="AD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E35" s="7" t="e" cm="1">
        <f t="array" aca="1" ref="AE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F35" s="7" t="e" cm="1">
        <f t="array" aca="1" ref="AF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G35" s="7" t="e" cm="1">
        <f t="array" aca="1" ref="AG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H35" s="7" t="e" cm="1">
        <f t="array" aca="1" ref="AH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I35" s="7" t="e" cm="1">
        <f t="array" aca="1" ref="AI35" ca="1">(_xlfn.SINGLE(SingleCoilTorque($F$19,$G$19,IF($I$19="",$H$19,INDEX(INDIRECT(_xlfn.CONCAT($I$19,"[Torque]")),MATCH(MIN(ABS(INDIRECT(_xlfn.CONCAT($I$19,"[RPM]"))-$R35*60/2/$C$6)),ABS(INDIRECT(_xlfn.CONCAT($I$19,"[RPM]"))-$R35*60/2/$C$6),0))*100),$J$19,$K$19,$L$19,$C$2,$N$19,$Q35))-$O$19)*$C$8</f>
        <v>#VALUE!</v>
      </c>
      <c r="AJ35" s="7">
        <f t="shared" ref="AJ35:AJ67" si="7">$C$12</f>
        <v>23.8732414637843</v>
      </c>
      <c r="AL35">
        <f t="shared" si="2"/>
        <v>640</v>
      </c>
      <c r="AM35" s="7">
        <f>StepperPower($F$15,$G$15,$H$15,$J$15,$K$15,$L$15,$C$2,$N$15,$Q35)</f>
        <v>65.875813295615274</v>
      </c>
      <c r="AN35" s="7">
        <f>StepperPower($F$16,$G$16,$H$16,$J$16,$K$16,$L$16,$C$2,$N$16,$Q35)</f>
        <v>48.281859971711462</v>
      </c>
      <c r="AO35" s="7">
        <f>StepperPower($F$17,$G$17,$H$17,$J$17,$K$17,$L$17,$C$2,$N$17,$Q35)</f>
        <v>47.709199992534877</v>
      </c>
      <c r="AP35" s="7" t="e">
        <f>StepperPower($F$18,$G$18,$H$18,$J$18,$K$18,$L$18,$C$2,$N$18,$Q35)</f>
        <v>#VALUE!</v>
      </c>
      <c r="AQ35" s="7" t="e">
        <f>StepperPower($F$19,$G$19,$H$19,$J$19,$K$19,$L$19,$C$2,$N$19,$Q35)</f>
        <v>#VALUE!</v>
      </c>
      <c r="AR35" s="7" t="e">
        <f>StepperPower($F$20,$G$20,$H$20,$J$20,$K$20,$L$20,$C$2,$N$20,$Q35)</f>
        <v>#VALUE!</v>
      </c>
      <c r="AS35" s="7" t="e">
        <f>StepperPower($F$21,$G$21,$H$21,$J$21,$K$21,$L$21,$C$2,$N$21,$Q35)</f>
        <v>#VALUE!</v>
      </c>
      <c r="AT35" s="7" t="e">
        <f>StepperPower($F$22,$G$22,$H$22,$J$22,$K$22,$L$22,$C$2,$N$22,$Q35)</f>
        <v>#VALUE!</v>
      </c>
      <c r="AU35" s="7" t="e">
        <f>StepperPower($F$23,$G$23,$H$23,$J$23,$K$23,$L$23,$C$2,$N$23,$Q35)</f>
        <v>#VALUE!</v>
      </c>
      <c r="AV35" s="7" t="e">
        <f>StepperPower($F$24,$G$24,$H$24,$J$24,$K$24,$L$24,$C$2,$N$24,$Q35)</f>
        <v>#VALUE!</v>
      </c>
      <c r="AW35" s="7" t="e">
        <f>StepperPower($F$25,$G$25,$H$25,$J$25,$K$25,$L$25,$C$2,$N$25,$Q35)</f>
        <v>#VALUE!</v>
      </c>
      <c r="AX35" s="7" t="e">
        <f>StepperPower($F$26,$G$26,$H$26,$J$26,$K$26,$L$26,$C$2,$N$26,$Q35)</f>
        <v>#VALUE!</v>
      </c>
      <c r="AY35" s="7" t="e">
        <f>StepperPower($F$27,$G$27,$H$27,$J$27,$K$27,$L$27,$C$2,$N$27,$Q35)</f>
        <v>#VALUE!</v>
      </c>
      <c r="AZ35" s="7" t="e">
        <f>StepperPower($F$28,$G$28,$H$28,$J$28,$K$28,$L$28,$C$2,$N$28,$Q35)</f>
        <v>#VALUE!</v>
      </c>
      <c r="BA35" s="7" t="e">
        <f>StepperPower($F$29,$G$29,$H$29,$J$29,$K$29,$L$29,$C$2,$N$29,$Q35)</f>
        <v>#VALUE!</v>
      </c>
      <c r="BB35" s="7" t="e">
        <f>StepperPower($F$30,$G$30,$H$30,$J$30,$K$30,$L$30,$C$2,$N$30,$Q35)</f>
        <v>#VALUE!</v>
      </c>
      <c r="BC35" s="7"/>
    </row>
    <row r="36" spans="3:55" x14ac:dyDescent="0.25">
      <c r="Q36">
        <f t="shared" si="3"/>
        <v>16.5</v>
      </c>
      <c r="R36">
        <f t="shared" si="6"/>
        <v>660</v>
      </c>
      <c r="T36" s="7" cm="1">
        <f t="array" aca="1" ref="T36" ca="1">(_xlfn.SINGLE(SingleCoilTorque($F$15,$G$15,IF($I$15="",$H$15,INDEX(INDIRECT(_xlfn.CONCAT($I$15,"[Torque]")),MATCH(MIN(ABS(INDIRECT(_xlfn.CONCAT($I$15,"[RPM]"))-$R36*60/2/$C$6)),ABS(INDIRECT(_xlfn.CONCAT($I$15,"[RPM]"))-$R36*60/2/$C$6),0))*100),$J$15,$K$15,$L$15,$C$2,$N$15,$Q36))-$O$15)*$C$8</f>
        <v>27.490206471920882</v>
      </c>
      <c r="U36" s="7" cm="1">
        <f t="array" aca="1" ref="U36" ca="1">(_xlfn.SINGLE(SingleCoilTorque($F$16,$G$16,IF($I$16="",$H$16,INDEX(INDIRECT(_xlfn.CONCAT($I$16,"[Torque]")),MATCH(MIN(ABS(INDIRECT(_xlfn.CONCAT($I$16,"[RPM]"))-$R36*60/2/$C$6)),ABS(INDIRECT(_xlfn.CONCAT($I$16,"[RPM]"))-$R36*60/2/$C$6),0))*100),$J$16,$K$16,$L$16,$C$2,$N$16,$Q36))-$O$16)*$C$8</f>
        <v>43.56890339811401</v>
      </c>
      <c r="V36" s="7" cm="1">
        <f t="array" aca="1" ref="V36" ca="1">(_xlfn.SINGLE(SingleCoilTorque($F$17,$G$17,IF($I$17="",$H$17,INDEX(INDIRECT(_xlfn.CONCAT($I$17,"[Torque]")),MATCH(MIN(ABS(INDIRECT(_xlfn.CONCAT($I$17,"[RPM]"))-$R36*60/2/$C$6)),ABS(INDIRECT(_xlfn.CONCAT($I$17,"[RPM]"))-$R36*60/2/$C$6),0))*100),$J$17,$K$17,$L$17,$C$2,$N$17,$Q36))-$O$17)*$C$8</f>
        <v>36.530599113455267</v>
      </c>
      <c r="W36" s="7" t="e" cm="1">
        <f t="array" aca="1" ref="W36" ca="1">(_xlfn.SINGLE(SingleCoilTorque($F$18,$G$18,IF($I$18="",$H$18,INDEX(INDIRECT(_xlfn.CONCAT($I$18,"[Torque]")),MATCH(MIN(ABS(INDIRECT(_xlfn.CONCAT($I$18,"[RPM]"))-$R36*60/2/$C$6)),ABS(INDIRECT(_xlfn.CONCAT($I$18,"[RPM]"))-$R36*60/2/$C$6),0))*100),$J$18,$K$18,$L$18,$C$2,$N$18,$Q36))-$O$18)*$C$8</f>
        <v>#VALUE!</v>
      </c>
      <c r="X36" s="7" t="e" cm="1">
        <f t="array" aca="1" ref="X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Y36" s="7" t="e" cm="1">
        <f t="array" aca="1" ref="Y36" ca="1">(_xlfn.SINGLE(SingleCoilTorque($F$20,$G$20,IF($I$20="",$H$20,INDEX(INDIRECT(_xlfn.CONCAT($I$20,"[Torque]")),MATCH(MIN(ABS(INDIRECT(_xlfn.CONCAT($I$20,"[RPM]"))-$R36*60/2/$C$6)),ABS(INDIRECT(_xlfn.CONCAT($I$20,"[RPM]"))-$R36*60/2/$C$6),0))*100),$J$20,$K$20,$L$20,$C$2,$N$20,$Q36))-$O$20)*$C$8</f>
        <v>#VALUE!</v>
      </c>
      <c r="Z36" s="7" t="e" cm="1">
        <f t="array" aca="1" ref="Z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A36" s="7" t="e" cm="1">
        <f t="array" aca="1" ref="AA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B36" s="7" t="e" cm="1">
        <f t="array" aca="1" ref="AB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C36" s="7" t="e" cm="1">
        <f t="array" aca="1" ref="AC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D36" s="7" t="e" cm="1">
        <f t="array" aca="1" ref="AD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E36" s="7" t="e" cm="1">
        <f t="array" aca="1" ref="AE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F36" s="7" t="e" cm="1">
        <f t="array" aca="1" ref="AF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G36" s="7" t="e" cm="1">
        <f t="array" aca="1" ref="AG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H36" s="7" t="e" cm="1">
        <f t="array" aca="1" ref="AH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I36" s="7" t="e" cm="1">
        <f t="array" aca="1" ref="AI36" ca="1">(_xlfn.SINGLE(SingleCoilTorque($F$19,$G$19,IF($I$19="",$H$19,INDEX(INDIRECT(_xlfn.CONCAT($I$19,"[Torque]")),MATCH(MIN(ABS(INDIRECT(_xlfn.CONCAT($I$19,"[RPM]"))-$R36*60/2/$C$6)),ABS(INDIRECT(_xlfn.CONCAT($I$19,"[RPM]"))-$R36*60/2/$C$6),0))*100),$J$19,$K$19,$L$19,$C$2,$N$19,$Q36))-$O$19)*$C$8</f>
        <v>#VALUE!</v>
      </c>
      <c r="AJ36" s="7">
        <f t="shared" si="7"/>
        <v>23.8732414637843</v>
      </c>
      <c r="AL36">
        <f t="shared" si="2"/>
        <v>660</v>
      </c>
      <c r="AM36" s="7">
        <f>StepperPower($F$15,$G$15,$H$15,$J$15,$K$15,$L$15,$C$2,$N$15,$Q36)</f>
        <v>67.653182461103256</v>
      </c>
      <c r="AN36" s="7">
        <f>StepperPower($F$16,$G$16,$H$16,$J$16,$K$16,$L$16,$C$2,$N$16,$Q36)</f>
        <v>49.614886845827442</v>
      </c>
      <c r="AO36" s="7">
        <f>StepperPower($F$17,$G$17,$H$17,$J$17,$K$17,$L$17,$C$2,$N$17,$Q36)</f>
        <v>46.167835188442389</v>
      </c>
      <c r="AP36" s="7" t="e">
        <f>StepperPower($F$18,$G$18,$H$18,$J$18,$K$18,$L$18,$C$2,$N$18,$Q36)</f>
        <v>#VALUE!</v>
      </c>
      <c r="AQ36" s="7" t="e">
        <f>StepperPower($F$19,$G$19,$H$19,$J$19,$K$19,$L$19,$C$2,$N$19,$Q36)</f>
        <v>#VALUE!</v>
      </c>
      <c r="AR36" s="7" t="e">
        <f>StepperPower($F$20,$G$20,$H$20,$J$20,$K$20,$L$20,$C$2,$N$20,$Q36)</f>
        <v>#VALUE!</v>
      </c>
      <c r="AS36" s="7" t="e">
        <f>StepperPower($F$21,$G$21,$H$21,$J$21,$K$21,$L$21,$C$2,$N$21,$Q36)</f>
        <v>#VALUE!</v>
      </c>
      <c r="AT36" s="7" t="e">
        <f>StepperPower($F$22,$G$22,$H$22,$J$22,$K$22,$L$22,$C$2,$N$22,$Q36)</f>
        <v>#VALUE!</v>
      </c>
      <c r="AU36" s="7" t="e">
        <f>StepperPower($F$23,$G$23,$H$23,$J$23,$K$23,$L$23,$C$2,$N$23,$Q36)</f>
        <v>#VALUE!</v>
      </c>
      <c r="AV36" s="7" t="e">
        <f>StepperPower($F$24,$G$24,$H$24,$J$24,$K$24,$L$24,$C$2,$N$24,$Q36)</f>
        <v>#VALUE!</v>
      </c>
      <c r="AW36" s="7" t="e">
        <f>StepperPower($F$25,$G$25,$H$25,$J$25,$K$25,$L$25,$C$2,$N$25,$Q36)</f>
        <v>#VALUE!</v>
      </c>
      <c r="AX36" s="7" t="e">
        <f>StepperPower($F$26,$G$26,$H$26,$J$26,$K$26,$L$26,$C$2,$N$26,$Q36)</f>
        <v>#VALUE!</v>
      </c>
      <c r="AY36" s="7" t="e">
        <f>StepperPower($F$27,$G$27,$H$27,$J$27,$K$27,$L$27,$C$2,$N$27,$Q36)</f>
        <v>#VALUE!</v>
      </c>
      <c r="AZ36" s="7" t="e">
        <f>StepperPower($F$28,$G$28,$H$28,$J$28,$K$28,$L$28,$C$2,$N$28,$Q36)</f>
        <v>#VALUE!</v>
      </c>
      <c r="BA36" s="7" t="e">
        <f>StepperPower($F$29,$G$29,$H$29,$J$29,$K$29,$L$29,$C$2,$N$29,$Q36)</f>
        <v>#VALUE!</v>
      </c>
      <c r="BB36" s="7" t="e">
        <f>StepperPower($F$30,$G$30,$H$30,$J$30,$K$30,$L$30,$C$2,$N$30,$Q36)</f>
        <v>#VALUE!</v>
      </c>
      <c r="BC36" s="7"/>
    </row>
    <row r="37" spans="3:55" x14ac:dyDescent="0.25">
      <c r="Q37">
        <f t="shared" si="3"/>
        <v>17</v>
      </c>
      <c r="R37">
        <f t="shared" si="6"/>
        <v>680</v>
      </c>
      <c r="T37" s="7" cm="1">
        <f t="array" aca="1" ref="T37" ca="1">(_xlfn.SINGLE(SingleCoilTorque($F$15,$G$15,IF($I$15="",$H$15,INDEX(INDIRECT(_xlfn.CONCAT($I$15,"[Torque]")),MATCH(MIN(ABS(INDIRECT(_xlfn.CONCAT($I$15,"[RPM]"))-$R37*60/2/$C$6)),ABS(INDIRECT(_xlfn.CONCAT($I$15,"[RPM]"))-$R37*60/2/$C$6),0))*100),$J$15,$K$15,$L$15,$C$2,$N$15,$Q37))-$O$15)*$C$8</f>
        <v>25.792893883519191</v>
      </c>
      <c r="U37" s="7" cm="1">
        <f t="array" aca="1" ref="U37" ca="1">(_xlfn.SINGLE(SingleCoilTorque($F$16,$G$16,IF($I$16="",$H$16,INDEX(INDIRECT(_xlfn.CONCAT($I$16,"[Torque]")),MATCH(MIN(ABS(INDIRECT(_xlfn.CONCAT($I$16,"[RPM]"))-$R37*60/2/$C$6)),ABS(INDIRECT(_xlfn.CONCAT($I$16,"[RPM]"))-$R37*60/2/$C$6),0))*100),$J$16,$K$16,$L$16,$C$2,$N$16,$Q37))-$O$16)*$C$8</f>
        <v>43.56890339811401</v>
      </c>
      <c r="V37" s="7" cm="1">
        <f t="array" aca="1" ref="V37" ca="1">(_xlfn.SINGLE(SingleCoilTorque($F$17,$G$17,IF($I$17="",$H$17,INDEX(INDIRECT(_xlfn.CONCAT($I$17,"[Torque]")),MATCH(MIN(ABS(INDIRECT(_xlfn.CONCAT($I$17,"[RPM]"))-$R37*60/2/$C$6)),ABS(INDIRECT(_xlfn.CONCAT($I$17,"[RPM]"))-$R37*60/2/$C$6),0))*100),$J$17,$K$17,$L$17,$C$2,$N$17,$Q37))-$O$17)*$C$8</f>
        <v>36.530599113455267</v>
      </c>
      <c r="W37" s="7" t="e" cm="1">
        <f t="array" aca="1" ref="W37" ca="1">(_xlfn.SINGLE(SingleCoilTorque($F$18,$G$18,IF($I$18="",$H$18,INDEX(INDIRECT(_xlfn.CONCAT($I$18,"[Torque]")),MATCH(MIN(ABS(INDIRECT(_xlfn.CONCAT($I$18,"[RPM]"))-$R37*60/2/$C$6)),ABS(INDIRECT(_xlfn.CONCAT($I$18,"[RPM]"))-$R37*60/2/$C$6),0))*100),$J$18,$K$18,$L$18,$C$2,$N$18,$Q37))-$O$18)*$C$8</f>
        <v>#VALUE!</v>
      </c>
      <c r="X37" s="7" t="e" cm="1">
        <f t="array" aca="1" ref="X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Y37" s="7" t="e" cm="1">
        <f t="array" aca="1" ref="Y37" ca="1">(_xlfn.SINGLE(SingleCoilTorque($F$20,$G$20,IF($I$20="",$H$20,INDEX(INDIRECT(_xlfn.CONCAT($I$20,"[Torque]")),MATCH(MIN(ABS(INDIRECT(_xlfn.CONCAT($I$20,"[RPM]"))-$R37*60/2/$C$6)),ABS(INDIRECT(_xlfn.CONCAT($I$20,"[RPM]"))-$R37*60/2/$C$6),0))*100),$J$20,$K$20,$L$20,$C$2,$N$20,$Q37))-$O$20)*$C$8</f>
        <v>#VALUE!</v>
      </c>
      <c r="Z37" s="7" t="e" cm="1">
        <f t="array" aca="1" ref="Z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A37" s="7" t="e" cm="1">
        <f t="array" aca="1" ref="AA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B37" s="7" t="e" cm="1">
        <f t="array" aca="1" ref="AB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C37" s="7" t="e" cm="1">
        <f t="array" aca="1" ref="AC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D37" s="7" t="e" cm="1">
        <f t="array" aca="1" ref="AD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E37" s="7" t="e" cm="1">
        <f t="array" aca="1" ref="AE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F37" s="7" t="e" cm="1">
        <f t="array" aca="1" ref="AF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G37" s="7" t="e" cm="1">
        <f t="array" aca="1" ref="AG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H37" s="7" t="e" cm="1">
        <f t="array" aca="1" ref="AH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I37" s="7" t="e" cm="1">
        <f t="array" aca="1" ref="AI37" ca="1">(_xlfn.SINGLE(SingleCoilTorque($F$19,$G$19,IF($I$19="",$H$19,INDEX(INDIRECT(_xlfn.CONCAT($I$19,"[Torque]")),MATCH(MIN(ABS(INDIRECT(_xlfn.CONCAT($I$19,"[RPM]"))-$R37*60/2/$C$6)),ABS(INDIRECT(_xlfn.CONCAT($I$19,"[RPM]"))-$R37*60/2/$C$6),0))*100),$J$19,$K$19,$L$19,$C$2,$N$19,$Q37))-$O$19)*$C$8</f>
        <v>#VALUE!</v>
      </c>
      <c r="AJ37" s="7">
        <f t="shared" si="7"/>
        <v>23.8732414637843</v>
      </c>
      <c r="AL37">
        <f t="shared" si="2"/>
        <v>680</v>
      </c>
      <c r="AM37" s="7">
        <f>StepperPower($F$15,$G$15,$H$15,$J$15,$K$15,$L$15,$C$2,$N$15,$Q37)</f>
        <v>67.305818132954357</v>
      </c>
      <c r="AN37" s="7">
        <f>StepperPower($F$16,$G$16,$H$16,$J$16,$K$16,$L$16,$C$2,$N$16,$Q37)</f>
        <v>50.947913719943429</v>
      </c>
      <c r="AO37" s="7">
        <f>StepperPower($F$17,$G$17,$H$17,$J$17,$K$17,$L$17,$C$2,$N$17,$Q37)</f>
        <v>44.658516964484001</v>
      </c>
      <c r="AP37" s="7" t="e">
        <f>StepperPower($F$18,$G$18,$H$18,$J$18,$K$18,$L$18,$C$2,$N$18,$Q37)</f>
        <v>#VALUE!</v>
      </c>
      <c r="AQ37" s="7" t="e">
        <f>StepperPower($F$19,$G$19,$H$19,$J$19,$K$19,$L$19,$C$2,$N$19,$Q37)</f>
        <v>#VALUE!</v>
      </c>
      <c r="AR37" s="7" t="e">
        <f>StepperPower($F$20,$G$20,$H$20,$J$20,$K$20,$L$20,$C$2,$N$20,$Q37)</f>
        <v>#VALUE!</v>
      </c>
      <c r="AS37" s="7" t="e">
        <f>StepperPower($F$21,$G$21,$H$21,$J$21,$K$21,$L$21,$C$2,$N$21,$Q37)</f>
        <v>#VALUE!</v>
      </c>
      <c r="AT37" s="7" t="e">
        <f>StepperPower($F$22,$G$22,$H$22,$J$22,$K$22,$L$22,$C$2,$N$22,$Q37)</f>
        <v>#VALUE!</v>
      </c>
      <c r="AU37" s="7" t="e">
        <f>StepperPower($F$23,$G$23,$H$23,$J$23,$K$23,$L$23,$C$2,$N$23,$Q37)</f>
        <v>#VALUE!</v>
      </c>
      <c r="AV37" s="7" t="e">
        <f>StepperPower($F$24,$G$24,$H$24,$J$24,$K$24,$L$24,$C$2,$N$24,$Q37)</f>
        <v>#VALUE!</v>
      </c>
      <c r="AW37" s="7" t="e">
        <f>StepperPower($F$25,$G$25,$H$25,$J$25,$K$25,$L$25,$C$2,$N$25,$Q37)</f>
        <v>#VALUE!</v>
      </c>
      <c r="AX37" s="7" t="e">
        <f>StepperPower($F$26,$G$26,$H$26,$J$26,$K$26,$L$26,$C$2,$N$26,$Q37)</f>
        <v>#VALUE!</v>
      </c>
      <c r="AY37" s="7" t="e">
        <f>StepperPower($F$27,$G$27,$H$27,$J$27,$K$27,$L$27,$C$2,$N$27,$Q37)</f>
        <v>#VALUE!</v>
      </c>
      <c r="AZ37" s="7" t="e">
        <f>StepperPower($F$28,$G$28,$H$28,$J$28,$K$28,$L$28,$C$2,$N$28,$Q37)</f>
        <v>#VALUE!</v>
      </c>
      <c r="BA37" s="7" t="e">
        <f>StepperPower($F$29,$G$29,$H$29,$J$29,$K$29,$L$29,$C$2,$N$29,$Q37)</f>
        <v>#VALUE!</v>
      </c>
      <c r="BB37" s="7" t="e">
        <f>StepperPower($F$30,$G$30,$H$30,$J$30,$K$30,$L$30,$C$2,$N$30,$Q37)</f>
        <v>#VALUE!</v>
      </c>
      <c r="BC37" s="7"/>
    </row>
    <row r="38" spans="3:55" x14ac:dyDescent="0.25">
      <c r="Q38">
        <f t="shared" si="3"/>
        <v>17.5</v>
      </c>
      <c r="R38">
        <f t="shared" si="6"/>
        <v>700</v>
      </c>
      <c r="T38" s="7" cm="1">
        <f t="array" aca="1" ref="T38" ca="1">(_xlfn.SINGLE(SingleCoilTorque($F$15,$G$15,IF($I$15="",$H$15,INDEX(INDIRECT(_xlfn.CONCAT($I$15,"[Torque]")),MATCH(MIN(ABS(INDIRECT(_xlfn.CONCAT($I$15,"[RPM]"))-$R38*60/2/$C$6)),ABS(INDIRECT(_xlfn.CONCAT($I$15,"[RPM]"))-$R38*60/2/$C$6),0))*100),$J$15,$K$15,$L$15,$C$2,$N$15,$Q38))-$O$15)*$C$8</f>
        <v>25.792893883519191</v>
      </c>
      <c r="U38" s="7" cm="1">
        <f t="array" aca="1" ref="U38" ca="1">(_xlfn.SINGLE(SingleCoilTorque($F$16,$G$16,IF($I$16="",$H$16,INDEX(INDIRECT(_xlfn.CONCAT($I$16,"[Torque]")),MATCH(MIN(ABS(INDIRECT(_xlfn.CONCAT($I$16,"[RPM]"))-$R38*60/2/$C$6)),ABS(INDIRECT(_xlfn.CONCAT($I$16,"[RPM]"))-$R38*60/2/$C$6),0))*100),$J$16,$K$16,$L$16,$C$2,$N$16,$Q38))-$O$16)*$C$8</f>
        <v>43.56890339811401</v>
      </c>
      <c r="V38" s="7" cm="1">
        <f t="array" aca="1" ref="V38" ca="1">(_xlfn.SINGLE(SingleCoilTorque($F$17,$G$17,IF($I$17="",$H$17,INDEX(INDIRECT(_xlfn.CONCAT($I$17,"[Torque]")),MATCH(MIN(ABS(INDIRECT(_xlfn.CONCAT($I$17,"[RPM]"))-$R38*60/2/$C$6)),ABS(INDIRECT(_xlfn.CONCAT($I$17,"[RPM]"))-$R38*60/2/$C$6),0))*100),$J$17,$K$17,$L$17,$C$2,$N$17,$Q38))-$O$17)*$C$8</f>
        <v>34.647593698675017</v>
      </c>
      <c r="W38" s="7" t="e" cm="1">
        <f t="array" aca="1" ref="W38" ca="1">(_xlfn.SINGLE(SingleCoilTorque($F$18,$G$18,IF($I$18="",$H$18,INDEX(INDIRECT(_xlfn.CONCAT($I$18,"[Torque]")),MATCH(MIN(ABS(INDIRECT(_xlfn.CONCAT($I$18,"[RPM]"))-$R38*60/2/$C$6)),ABS(INDIRECT(_xlfn.CONCAT($I$18,"[RPM]"))-$R38*60/2/$C$6),0))*100),$J$18,$K$18,$L$18,$C$2,$N$18,$Q38))-$O$18)*$C$8</f>
        <v>#VALUE!</v>
      </c>
      <c r="X38" s="7" t="e" cm="1">
        <f t="array" aca="1" ref="X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Y38" s="7" t="e" cm="1">
        <f t="array" aca="1" ref="Y38" ca="1">(_xlfn.SINGLE(SingleCoilTorque($F$20,$G$20,IF($I$20="",$H$20,INDEX(INDIRECT(_xlfn.CONCAT($I$20,"[Torque]")),MATCH(MIN(ABS(INDIRECT(_xlfn.CONCAT($I$20,"[RPM]"))-$R38*60/2/$C$6)),ABS(INDIRECT(_xlfn.CONCAT($I$20,"[RPM]"))-$R38*60/2/$C$6),0))*100),$J$20,$K$20,$L$20,$C$2,$N$20,$Q38))-$O$20)*$C$8</f>
        <v>#VALUE!</v>
      </c>
      <c r="Z38" s="7" t="e" cm="1">
        <f t="array" aca="1" ref="Z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A38" s="7" t="e" cm="1">
        <f t="array" aca="1" ref="AA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B38" s="7" t="e" cm="1">
        <f t="array" aca="1" ref="AB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C38" s="7" t="e" cm="1">
        <f t="array" aca="1" ref="AC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D38" s="7" t="e" cm="1">
        <f t="array" aca="1" ref="AD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E38" s="7" t="e" cm="1">
        <f t="array" aca="1" ref="AE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F38" s="7" t="e" cm="1">
        <f t="array" aca="1" ref="AF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G38" s="7" t="e" cm="1">
        <f t="array" aca="1" ref="AG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H38" s="7" t="e" cm="1">
        <f t="array" aca="1" ref="AH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I38" s="7" t="e" cm="1">
        <f t="array" aca="1" ref="AI38" ca="1">(_xlfn.SINGLE(SingleCoilTorque($F$19,$G$19,IF($I$19="",$H$19,INDEX(INDIRECT(_xlfn.CONCAT($I$19,"[Torque]")),MATCH(MIN(ABS(INDIRECT(_xlfn.CONCAT($I$19,"[RPM]"))-$R38*60/2/$C$6)),ABS(INDIRECT(_xlfn.CONCAT($I$19,"[RPM]"))-$R38*60/2/$C$6),0))*100),$J$19,$K$19,$L$19,$C$2,$N$19,$Q38))-$O$19)*$C$8</f>
        <v>#VALUE!</v>
      </c>
      <c r="AJ38" s="7">
        <f t="shared" si="7"/>
        <v>23.8732414637843</v>
      </c>
      <c r="AL38">
        <f t="shared" si="2"/>
        <v>700</v>
      </c>
      <c r="AM38" s="7">
        <f>StepperPower($F$15,$G$15,$H$15,$J$15,$K$15,$L$15,$C$2,$N$15,$Q38)</f>
        <v>65.456530275576313</v>
      </c>
      <c r="AN38" s="7">
        <f>StepperPower($F$16,$G$16,$H$16,$J$16,$K$16,$L$16,$C$2,$N$16,$Q38)</f>
        <v>52.280940594059409</v>
      </c>
      <c r="AO38" s="7">
        <f>StepperPower($F$17,$G$17,$H$17,$J$17,$K$17,$L$17,$C$2,$N$17,$Q38)</f>
        <v>43.177055379760503</v>
      </c>
      <c r="AP38" s="7" t="e">
        <f>StepperPower($F$18,$G$18,$H$18,$J$18,$K$18,$L$18,$C$2,$N$18,$Q38)</f>
        <v>#VALUE!</v>
      </c>
      <c r="AQ38" s="7" t="e">
        <f>StepperPower($F$19,$G$19,$H$19,$J$19,$K$19,$L$19,$C$2,$N$19,$Q38)</f>
        <v>#VALUE!</v>
      </c>
      <c r="AR38" s="7" t="e">
        <f>StepperPower($F$20,$G$20,$H$20,$J$20,$K$20,$L$20,$C$2,$N$20,$Q38)</f>
        <v>#VALUE!</v>
      </c>
      <c r="AS38" s="7" t="e">
        <f>StepperPower($F$21,$G$21,$H$21,$J$21,$K$21,$L$21,$C$2,$N$21,$Q38)</f>
        <v>#VALUE!</v>
      </c>
      <c r="AT38" s="7" t="e">
        <f>StepperPower($F$22,$G$22,$H$22,$J$22,$K$22,$L$22,$C$2,$N$22,$Q38)</f>
        <v>#VALUE!</v>
      </c>
      <c r="AU38" s="7" t="e">
        <f>StepperPower($F$23,$G$23,$H$23,$J$23,$K$23,$L$23,$C$2,$N$23,$Q38)</f>
        <v>#VALUE!</v>
      </c>
      <c r="AV38" s="7" t="e">
        <f>StepperPower($F$24,$G$24,$H$24,$J$24,$K$24,$L$24,$C$2,$N$24,$Q38)</f>
        <v>#VALUE!</v>
      </c>
      <c r="AW38" s="7" t="e">
        <f>StepperPower($F$25,$G$25,$H$25,$J$25,$K$25,$L$25,$C$2,$N$25,$Q38)</f>
        <v>#VALUE!</v>
      </c>
      <c r="AX38" s="7" t="e">
        <f>StepperPower($F$26,$G$26,$H$26,$J$26,$K$26,$L$26,$C$2,$N$26,$Q38)</f>
        <v>#VALUE!</v>
      </c>
      <c r="AY38" s="7" t="e">
        <f>StepperPower($F$27,$G$27,$H$27,$J$27,$K$27,$L$27,$C$2,$N$27,$Q38)</f>
        <v>#VALUE!</v>
      </c>
      <c r="AZ38" s="7" t="e">
        <f>StepperPower($F$28,$G$28,$H$28,$J$28,$K$28,$L$28,$C$2,$N$28,$Q38)</f>
        <v>#VALUE!</v>
      </c>
      <c r="BA38" s="7" t="e">
        <f>StepperPower($F$29,$G$29,$H$29,$J$29,$K$29,$L$29,$C$2,$N$29,$Q38)</f>
        <v>#VALUE!</v>
      </c>
      <c r="BB38" s="7" t="e">
        <f>StepperPower($F$30,$G$30,$H$30,$J$30,$K$30,$L$30,$C$2,$N$30,$Q38)</f>
        <v>#VALUE!</v>
      </c>
      <c r="BC38" s="7"/>
    </row>
    <row r="39" spans="3:55" x14ac:dyDescent="0.25">
      <c r="Q39">
        <f t="shared" si="3"/>
        <v>18</v>
      </c>
      <c r="R39">
        <f t="shared" si="6"/>
        <v>720</v>
      </c>
      <c r="T39" s="7" cm="1">
        <f t="array" aca="1" ref="T39" ca="1">(_xlfn.SINGLE(SingleCoilTorque($F$15,$G$15,IF($I$15="",$H$15,INDEX(INDIRECT(_xlfn.CONCAT($I$15,"[Torque]")),MATCH(MIN(ABS(INDIRECT(_xlfn.CONCAT($I$15,"[RPM]"))-$R39*60/2/$C$6)),ABS(INDIRECT(_xlfn.CONCAT($I$15,"[RPM]"))-$R39*60/2/$C$6),0))*100),$J$15,$K$15,$L$15,$C$2,$N$15,$Q39))-$O$15)*$C$8</f>
        <v>22.964039569516355</v>
      </c>
      <c r="U39" s="7" cm="1">
        <f t="array" aca="1" ref="U39" ca="1">(_xlfn.SINGLE(SingleCoilTorque($F$16,$G$16,IF($I$16="",$H$16,INDEX(INDIRECT(_xlfn.CONCAT($I$16,"[Torque]")),MATCH(MIN(ABS(INDIRECT(_xlfn.CONCAT($I$16,"[RPM]"))-$R39*60/2/$C$6)),ABS(INDIRECT(_xlfn.CONCAT($I$16,"[RPM]"))-$R39*60/2/$C$6),0))*100),$J$16,$K$16,$L$16,$C$2,$N$16,$Q39))-$O$16)*$C$8</f>
        <v>39.608507358510053</v>
      </c>
      <c r="V39" s="7" cm="1">
        <f t="array" aca="1" ref="V39" ca="1">(_xlfn.SINGLE(SingleCoilTorque($F$17,$G$17,IF($I$17="",$H$17,INDEX(INDIRECT(_xlfn.CONCAT($I$17,"[Torque]")),MATCH(MIN(ABS(INDIRECT(_xlfn.CONCAT($I$17,"[RPM]"))-$R39*60/2/$C$6)),ABS(INDIRECT(_xlfn.CONCAT($I$17,"[RPM]"))-$R39*60/2/$C$6),0))*100),$J$17,$K$17,$L$17,$C$2,$N$17,$Q39))-$O$17)*$C$8</f>
        <v>30.055088633891714</v>
      </c>
      <c r="W39" s="7" t="e" cm="1">
        <f t="array" aca="1" ref="W39" ca="1">(_xlfn.SINGLE(SingleCoilTorque($F$18,$G$18,IF($I$18="",$H$18,INDEX(INDIRECT(_xlfn.CONCAT($I$18,"[Torque]")),MATCH(MIN(ABS(INDIRECT(_xlfn.CONCAT($I$18,"[RPM]"))-$R39*60/2/$C$6)),ABS(INDIRECT(_xlfn.CONCAT($I$18,"[RPM]"))-$R39*60/2/$C$6),0))*100),$J$18,$K$18,$L$18,$C$2,$N$18,$Q39))-$O$18)*$C$8</f>
        <v>#VALUE!</v>
      </c>
      <c r="X39" s="7" t="e" cm="1">
        <f t="array" aca="1" ref="X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Y39" s="7" t="e" cm="1">
        <f t="array" aca="1" ref="Y39" ca="1">(_xlfn.SINGLE(SingleCoilTorque($F$20,$G$20,IF($I$20="",$H$20,INDEX(INDIRECT(_xlfn.CONCAT($I$20,"[Torque]")),MATCH(MIN(ABS(INDIRECT(_xlfn.CONCAT($I$20,"[RPM]"))-$R39*60/2/$C$6)),ABS(INDIRECT(_xlfn.CONCAT($I$20,"[RPM]"))-$R39*60/2/$C$6),0))*100),$J$20,$K$20,$L$20,$C$2,$N$20,$Q39))-$O$20)*$C$8</f>
        <v>#VALUE!</v>
      </c>
      <c r="Z39" s="7" t="e" cm="1">
        <f t="array" aca="1" ref="Z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A39" s="7" t="e" cm="1">
        <f t="array" aca="1" ref="AA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B39" s="7" t="e" cm="1">
        <f t="array" aca="1" ref="AB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C39" s="7" t="e" cm="1">
        <f t="array" aca="1" ref="AC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D39" s="7" t="e" cm="1">
        <f t="array" aca="1" ref="AD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E39" s="7" t="e" cm="1">
        <f t="array" aca="1" ref="AE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F39" s="7" t="e" cm="1">
        <f t="array" aca="1" ref="AF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G39" s="7" t="e" cm="1">
        <f t="array" aca="1" ref="AG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H39" s="7" t="e" cm="1">
        <f t="array" aca="1" ref="AH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I39" s="7" t="e" cm="1">
        <f t="array" aca="1" ref="AI39" ca="1">(_xlfn.SINGLE(SingleCoilTorque($F$19,$G$19,IF($I$19="",$H$19,INDEX(INDIRECT(_xlfn.CONCAT($I$19,"[Torque]")),MATCH(MIN(ABS(INDIRECT(_xlfn.CONCAT($I$19,"[RPM]"))-$R39*60/2/$C$6)),ABS(INDIRECT(_xlfn.CONCAT($I$19,"[RPM]"))-$R39*60/2/$C$6),0))*100),$J$19,$K$19,$L$19,$C$2,$N$19,$Q39))-$O$19)*$C$8</f>
        <v>#VALUE!</v>
      </c>
      <c r="AJ39" s="7">
        <f t="shared" si="7"/>
        <v>23.8732414637843</v>
      </c>
      <c r="AL39">
        <f t="shared" si="2"/>
        <v>720</v>
      </c>
      <c r="AM39" s="7">
        <f>StepperPower($F$15,$G$15,$H$15,$J$15,$K$15,$L$15,$C$2,$N$15,$Q39)</f>
        <v>63.663822800908441</v>
      </c>
      <c r="AN39" s="7">
        <f>StepperPower($F$16,$G$16,$H$16,$J$16,$K$16,$L$16,$C$2,$N$16,$Q39)</f>
        <v>53.613967468175396</v>
      </c>
      <c r="AO39" s="7">
        <f>StepperPower($F$17,$G$17,$H$17,$J$17,$K$17,$L$17,$C$2,$N$17,$Q39)</f>
        <v>41.719859076585351</v>
      </c>
      <c r="AP39" s="7" t="e">
        <f>StepperPower($F$18,$G$18,$H$18,$J$18,$K$18,$L$18,$C$2,$N$18,$Q39)</f>
        <v>#VALUE!</v>
      </c>
      <c r="AQ39" s="7" t="e">
        <f>StepperPower($F$19,$G$19,$H$19,$J$19,$K$19,$L$19,$C$2,$N$19,$Q39)</f>
        <v>#VALUE!</v>
      </c>
      <c r="AR39" s="7" t="e">
        <f>StepperPower($F$20,$G$20,$H$20,$J$20,$K$20,$L$20,$C$2,$N$20,$Q39)</f>
        <v>#VALUE!</v>
      </c>
      <c r="AS39" s="7" t="e">
        <f>StepperPower($F$21,$G$21,$H$21,$J$21,$K$21,$L$21,$C$2,$N$21,$Q39)</f>
        <v>#VALUE!</v>
      </c>
      <c r="AT39" s="7" t="e">
        <f>StepperPower($F$22,$G$22,$H$22,$J$22,$K$22,$L$22,$C$2,$N$22,$Q39)</f>
        <v>#VALUE!</v>
      </c>
      <c r="AU39" s="7" t="e">
        <f>StepperPower($F$23,$G$23,$H$23,$J$23,$K$23,$L$23,$C$2,$N$23,$Q39)</f>
        <v>#VALUE!</v>
      </c>
      <c r="AV39" s="7" t="e">
        <f>StepperPower($F$24,$G$24,$H$24,$J$24,$K$24,$L$24,$C$2,$N$24,$Q39)</f>
        <v>#VALUE!</v>
      </c>
      <c r="AW39" s="7" t="e">
        <f>StepperPower($F$25,$G$25,$H$25,$J$25,$K$25,$L$25,$C$2,$N$25,$Q39)</f>
        <v>#VALUE!</v>
      </c>
      <c r="AX39" s="7" t="e">
        <f>StepperPower($F$26,$G$26,$H$26,$J$26,$K$26,$L$26,$C$2,$N$26,$Q39)</f>
        <v>#VALUE!</v>
      </c>
      <c r="AY39" s="7" t="e">
        <f>StepperPower($F$27,$G$27,$H$27,$J$27,$K$27,$L$27,$C$2,$N$27,$Q39)</f>
        <v>#VALUE!</v>
      </c>
      <c r="AZ39" s="7" t="e">
        <f>StepperPower($F$28,$G$28,$H$28,$J$28,$K$28,$L$28,$C$2,$N$28,$Q39)</f>
        <v>#VALUE!</v>
      </c>
      <c r="BA39" s="7" t="e">
        <f>StepperPower($F$29,$G$29,$H$29,$J$29,$K$29,$L$29,$C$2,$N$29,$Q39)</f>
        <v>#VALUE!</v>
      </c>
      <c r="BB39" s="7" t="e">
        <f>StepperPower($F$30,$G$30,$H$30,$J$30,$K$30,$L$30,$C$2,$N$30,$Q39)</f>
        <v>#VALUE!</v>
      </c>
      <c r="BC39" s="7"/>
    </row>
    <row r="40" spans="3:55" x14ac:dyDescent="0.25">
      <c r="Q40">
        <f t="shared" si="3"/>
        <v>18.5</v>
      </c>
      <c r="R40">
        <f t="shared" si="6"/>
        <v>740</v>
      </c>
      <c r="T40" s="7" cm="1">
        <f t="array" aca="1" ref="T40" ca="1">(_xlfn.SINGLE(SingleCoilTorque($F$15,$G$15,IF($I$15="",$H$15,INDEX(INDIRECT(_xlfn.CONCAT($I$15,"[Torque]")),MATCH(MIN(ABS(INDIRECT(_xlfn.CONCAT($I$15,"[RPM]"))-$R40*60/2/$C$6)),ABS(INDIRECT(_xlfn.CONCAT($I$15,"[RPM]"))-$R40*60/2/$C$6),0))*100),$J$15,$K$15,$L$15,$C$2,$N$15,$Q40))-$O$15)*$C$8</f>
        <v>22.964039569516355</v>
      </c>
      <c r="U40" s="7" cm="1">
        <f t="array" aca="1" ref="U40" ca="1">(_xlfn.SINGLE(SingleCoilTorque($F$16,$G$16,IF($I$16="",$H$16,INDEX(INDIRECT(_xlfn.CONCAT($I$16,"[Torque]")),MATCH(MIN(ABS(INDIRECT(_xlfn.CONCAT($I$16,"[RPM]"))-$R40*60/2/$C$6)),ABS(INDIRECT(_xlfn.CONCAT($I$16,"[RPM]"))-$R40*60/2/$C$6),0))*100),$J$16,$K$16,$L$16,$C$2,$N$16,$Q40))-$O$16)*$C$8</f>
        <v>39.608507358510053</v>
      </c>
      <c r="V40" s="7" cm="1">
        <f t="array" aca="1" ref="V40" ca="1">(_xlfn.SINGLE(SingleCoilTorque($F$17,$G$17,IF($I$17="",$H$17,INDEX(INDIRECT(_xlfn.CONCAT($I$17,"[Torque]")),MATCH(MIN(ABS(INDIRECT(_xlfn.CONCAT($I$17,"[RPM]"))-$R40*60/2/$C$6)),ABS(INDIRECT(_xlfn.CONCAT($I$17,"[RPM]"))-$R40*60/2/$C$6),0))*100),$J$17,$K$17,$L$17,$C$2,$N$17,$Q40))-$O$17)*$C$8</f>
        <v>28.513677219567509</v>
      </c>
      <c r="W40" s="7" t="e" cm="1">
        <f t="array" aca="1" ref="W40" ca="1">(_xlfn.SINGLE(SingleCoilTorque($F$18,$G$18,IF($I$18="",$H$18,INDEX(INDIRECT(_xlfn.CONCAT($I$18,"[Torque]")),MATCH(MIN(ABS(INDIRECT(_xlfn.CONCAT($I$18,"[RPM]"))-$R40*60/2/$C$6)),ABS(INDIRECT(_xlfn.CONCAT($I$18,"[RPM]"))-$R40*60/2/$C$6),0))*100),$J$18,$K$18,$L$18,$C$2,$N$18,$Q40))-$O$18)*$C$8</f>
        <v>#VALUE!</v>
      </c>
      <c r="X40" s="7" t="e" cm="1">
        <f t="array" aca="1" ref="X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Y40" s="7" t="e" cm="1">
        <f t="array" aca="1" ref="Y40" ca="1">(_xlfn.SINGLE(SingleCoilTorque($F$20,$G$20,IF($I$20="",$H$20,INDEX(INDIRECT(_xlfn.CONCAT($I$20,"[Torque]")),MATCH(MIN(ABS(INDIRECT(_xlfn.CONCAT($I$20,"[RPM]"))-$R40*60/2/$C$6)),ABS(INDIRECT(_xlfn.CONCAT($I$20,"[RPM]"))-$R40*60/2/$C$6),0))*100),$J$20,$K$20,$L$20,$C$2,$N$20,$Q40))-$O$20)*$C$8</f>
        <v>#VALUE!</v>
      </c>
      <c r="Z40" s="7" t="e" cm="1">
        <f t="array" aca="1" ref="Z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A40" s="7" t="e" cm="1">
        <f t="array" aca="1" ref="AA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B40" s="7" t="e" cm="1">
        <f t="array" aca="1" ref="AB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C40" s="7" t="e" cm="1">
        <f t="array" aca="1" ref="AC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D40" s="7" t="e" cm="1">
        <f t="array" aca="1" ref="AD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E40" s="7" t="e" cm="1">
        <f t="array" aca="1" ref="AE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F40" s="7" t="e" cm="1">
        <f t="array" aca="1" ref="AF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G40" s="7" t="e" cm="1">
        <f t="array" aca="1" ref="AG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H40" s="7" t="e" cm="1">
        <f t="array" aca="1" ref="AH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I40" s="7" t="e" cm="1">
        <f t="array" aca="1" ref="AI40" ca="1">(_xlfn.SINGLE(SingleCoilTorque($F$19,$G$19,IF($I$19="",$H$19,INDEX(INDIRECT(_xlfn.CONCAT($I$19,"[Torque]")),MATCH(MIN(ABS(INDIRECT(_xlfn.CONCAT($I$19,"[RPM]"))-$R40*60/2/$C$6)),ABS(INDIRECT(_xlfn.CONCAT($I$19,"[RPM]"))-$R40*60/2/$C$6),0))*100),$J$19,$K$19,$L$19,$C$2,$N$19,$Q40))-$O$19)*$C$8</f>
        <v>#VALUE!</v>
      </c>
      <c r="AJ40" s="7">
        <f t="shared" si="7"/>
        <v>23.8732414637843</v>
      </c>
      <c r="AL40">
        <f t="shared" si="2"/>
        <v>740</v>
      </c>
      <c r="AM40" s="7">
        <f>StepperPower($F$15,$G$15,$H$15,$J$15,$K$15,$L$15,$C$2,$N$15,$Q40)</f>
        <v>61.921129768299529</v>
      </c>
      <c r="AN40" s="7">
        <f>StepperPower($F$16,$G$16,$H$16,$J$16,$K$16,$L$16,$C$2,$N$16,$Q40)</f>
        <v>54.946994342291376</v>
      </c>
      <c r="AO40" s="7">
        <f>StepperPower($F$17,$G$17,$H$17,$J$17,$K$17,$L$17,$C$2,$N$17,$Q40)</f>
        <v>40.283839523168304</v>
      </c>
      <c r="AP40" s="7" t="e">
        <f>StepperPower($F$18,$G$18,$H$18,$J$18,$K$18,$L$18,$C$2,$N$18,$Q40)</f>
        <v>#VALUE!</v>
      </c>
      <c r="AQ40" s="7" t="e">
        <f>StepperPower($F$19,$G$19,$H$19,$J$19,$K$19,$L$19,$C$2,$N$19,$Q40)</f>
        <v>#VALUE!</v>
      </c>
      <c r="AR40" s="7" t="e">
        <f>StepperPower($F$20,$G$20,$H$20,$J$20,$K$20,$L$20,$C$2,$N$20,$Q40)</f>
        <v>#VALUE!</v>
      </c>
      <c r="AS40" s="7" t="e">
        <f>StepperPower($F$21,$G$21,$H$21,$J$21,$K$21,$L$21,$C$2,$N$21,$Q40)</f>
        <v>#VALUE!</v>
      </c>
      <c r="AT40" s="7" t="e">
        <f>StepperPower($F$22,$G$22,$H$22,$J$22,$K$22,$L$22,$C$2,$N$22,$Q40)</f>
        <v>#VALUE!</v>
      </c>
      <c r="AU40" s="7" t="e">
        <f>StepperPower($F$23,$G$23,$H$23,$J$23,$K$23,$L$23,$C$2,$N$23,$Q40)</f>
        <v>#VALUE!</v>
      </c>
      <c r="AV40" s="7" t="e">
        <f>StepperPower($F$24,$G$24,$H$24,$J$24,$K$24,$L$24,$C$2,$N$24,$Q40)</f>
        <v>#VALUE!</v>
      </c>
      <c r="AW40" s="7" t="e">
        <f>StepperPower($F$25,$G$25,$H$25,$J$25,$K$25,$L$25,$C$2,$N$25,$Q40)</f>
        <v>#VALUE!</v>
      </c>
      <c r="AX40" s="7" t="e">
        <f>StepperPower($F$26,$G$26,$H$26,$J$26,$K$26,$L$26,$C$2,$N$26,$Q40)</f>
        <v>#VALUE!</v>
      </c>
      <c r="AY40" s="7" t="e">
        <f>StepperPower($F$27,$G$27,$H$27,$J$27,$K$27,$L$27,$C$2,$N$27,$Q40)</f>
        <v>#VALUE!</v>
      </c>
      <c r="AZ40" s="7" t="e">
        <f>StepperPower($F$28,$G$28,$H$28,$J$28,$K$28,$L$28,$C$2,$N$28,$Q40)</f>
        <v>#VALUE!</v>
      </c>
      <c r="BA40" s="7" t="e">
        <f>StepperPower($F$29,$G$29,$H$29,$J$29,$K$29,$L$29,$C$2,$N$29,$Q40)</f>
        <v>#VALUE!</v>
      </c>
      <c r="BB40" s="7" t="e">
        <f>StepperPower($F$30,$G$30,$H$30,$J$30,$K$30,$L$30,$C$2,$N$30,$Q40)</f>
        <v>#VALUE!</v>
      </c>
      <c r="BC40" s="7"/>
    </row>
    <row r="41" spans="3:55" x14ac:dyDescent="0.25">
      <c r="Q41">
        <f t="shared" si="3"/>
        <v>19</v>
      </c>
      <c r="R41">
        <f t="shared" si="6"/>
        <v>760</v>
      </c>
      <c r="T41" s="7" cm="1">
        <f t="array" aca="1" ref="T41" ca="1">(_xlfn.SINGLE(SingleCoilTorque($F$15,$G$15,IF($I$15="",$H$15,INDEX(INDIRECT(_xlfn.CONCAT($I$15,"[Torque]")),MATCH(MIN(ABS(INDIRECT(_xlfn.CONCAT($I$15,"[RPM]"))-$R41*60/2/$C$6)),ABS(INDIRECT(_xlfn.CONCAT($I$15,"[RPM]"))-$R41*60/2/$C$6),0))*100),$J$15,$K$15,$L$15,$C$2,$N$15,$Q41))-$O$15)*$C$8</f>
        <v>21.266726981114655</v>
      </c>
      <c r="U41" s="7" cm="1">
        <f t="array" aca="1" ref="U41" ca="1">(_xlfn.SINGLE(SingleCoilTorque($F$16,$G$16,IF($I$16="",$H$16,INDEX(INDIRECT(_xlfn.CONCAT($I$16,"[Torque]")),MATCH(MIN(ABS(INDIRECT(_xlfn.CONCAT($I$16,"[RPM]"))-$R41*60/2/$C$6)),ABS(INDIRECT(_xlfn.CONCAT($I$16,"[RPM]"))-$R41*60/2/$C$6),0))*100),$J$16,$K$16,$L$16,$C$2,$N$16,$Q41))-$O$16)*$C$8</f>
        <v>39.608507358510053</v>
      </c>
      <c r="V41" s="7" cm="1">
        <f t="array" aca="1" ref="V41" ca="1">(_xlfn.SINGLE(SingleCoilTorque($F$17,$G$17,IF($I$17="",$H$17,INDEX(INDIRECT(_xlfn.CONCAT($I$17,"[Torque]")),MATCH(MIN(ABS(INDIRECT(_xlfn.CONCAT($I$17,"[RPM]"))-$R41*60/2/$C$6)),ABS(INDIRECT(_xlfn.CONCAT($I$17,"[RPM]"))-$R41*60/2/$C$6),0))*100),$J$17,$K$17,$L$17,$C$2,$N$17,$Q41))-$O$17)*$C$8</f>
        <v>27.048099041782777</v>
      </c>
      <c r="W41" s="7" t="e" cm="1">
        <f t="array" aca="1" ref="W41" ca="1">(_xlfn.SINGLE(SingleCoilTorque($F$18,$G$18,IF($I$18="",$H$18,INDEX(INDIRECT(_xlfn.CONCAT($I$18,"[Torque]")),MATCH(MIN(ABS(INDIRECT(_xlfn.CONCAT($I$18,"[RPM]"))-$R41*60/2/$C$6)),ABS(INDIRECT(_xlfn.CONCAT($I$18,"[RPM]"))-$R41*60/2/$C$6),0))*100),$J$18,$K$18,$L$18,$C$2,$N$18,$Q41))-$O$18)*$C$8</f>
        <v>#VALUE!</v>
      </c>
      <c r="X41" s="7" t="e" cm="1">
        <f t="array" aca="1" ref="X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Y41" s="7" t="e" cm="1">
        <f t="array" aca="1" ref="Y41" ca="1">(_xlfn.SINGLE(SingleCoilTorque($F$20,$G$20,IF($I$20="",$H$20,INDEX(INDIRECT(_xlfn.CONCAT($I$20,"[Torque]")),MATCH(MIN(ABS(INDIRECT(_xlfn.CONCAT($I$20,"[RPM]"))-$R41*60/2/$C$6)),ABS(INDIRECT(_xlfn.CONCAT($I$20,"[RPM]"))-$R41*60/2/$C$6),0))*100),$J$20,$K$20,$L$20,$C$2,$N$20,$Q41))-$O$20)*$C$8</f>
        <v>#VALUE!</v>
      </c>
      <c r="Z41" s="7" t="e" cm="1">
        <f t="array" aca="1" ref="Z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A41" s="7" t="e" cm="1">
        <f t="array" aca="1" ref="AA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B41" s="7" t="e" cm="1">
        <f t="array" aca="1" ref="AB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C41" s="7" t="e" cm="1">
        <f t="array" aca="1" ref="AC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D41" s="7" t="e" cm="1">
        <f t="array" aca="1" ref="AD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E41" s="7" t="e" cm="1">
        <f t="array" aca="1" ref="AE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F41" s="7" t="e" cm="1">
        <f t="array" aca="1" ref="AF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G41" s="7" t="e" cm="1">
        <f t="array" aca="1" ref="AG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H41" s="7" t="e" cm="1">
        <f t="array" aca="1" ref="AH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I41" s="7" t="e" cm="1">
        <f t="array" aca="1" ref="AI41" ca="1">(_xlfn.SINGLE(SingleCoilTorque($F$19,$G$19,IF($I$19="",$H$19,INDEX(INDIRECT(_xlfn.CONCAT($I$19,"[Torque]")),MATCH(MIN(ABS(INDIRECT(_xlfn.CONCAT($I$19,"[RPM]"))-$R41*60/2/$C$6)),ABS(INDIRECT(_xlfn.CONCAT($I$19,"[RPM]"))-$R41*60/2/$C$6),0))*100),$J$19,$K$19,$L$19,$C$2,$N$19,$Q41))-$O$19)*$C$8</f>
        <v>#VALUE!</v>
      </c>
      <c r="AJ41" s="7">
        <f t="shared" si="7"/>
        <v>23.8732414637843</v>
      </c>
      <c r="AL41">
        <f t="shared" si="2"/>
        <v>760</v>
      </c>
      <c r="AM41" s="7">
        <f>StepperPower($F$15,$G$15,$H$15,$J$15,$K$15,$L$15,$C$2,$N$15,$Q41)</f>
        <v>60.222736328792067</v>
      </c>
      <c r="AN41" s="7">
        <f>StepperPower($F$16,$G$16,$H$16,$J$16,$K$16,$L$16,$C$2,$N$16,$Q41)</f>
        <v>56.280021216407363</v>
      </c>
      <c r="AO41" s="7">
        <f>StepperPower($F$17,$G$17,$H$17,$J$17,$K$17,$L$17,$C$2,$N$17,$Q41)</f>
        <v>38.866332308685614</v>
      </c>
      <c r="AP41" s="7" t="e">
        <f>StepperPower($F$18,$G$18,$H$18,$J$18,$K$18,$L$18,$C$2,$N$18,$Q41)</f>
        <v>#VALUE!</v>
      </c>
      <c r="AQ41" s="7" t="e">
        <f>StepperPower($F$19,$G$19,$H$19,$J$19,$K$19,$L$19,$C$2,$N$19,$Q41)</f>
        <v>#VALUE!</v>
      </c>
      <c r="AR41" s="7" t="e">
        <f>StepperPower($F$20,$G$20,$H$20,$J$20,$K$20,$L$20,$C$2,$N$20,$Q41)</f>
        <v>#VALUE!</v>
      </c>
      <c r="AS41" s="7" t="e">
        <f>StepperPower($F$21,$G$21,$H$21,$J$21,$K$21,$L$21,$C$2,$N$21,$Q41)</f>
        <v>#VALUE!</v>
      </c>
      <c r="AT41" s="7" t="e">
        <f>StepperPower($F$22,$G$22,$H$22,$J$22,$K$22,$L$22,$C$2,$N$22,$Q41)</f>
        <v>#VALUE!</v>
      </c>
      <c r="AU41" s="7" t="e">
        <f>StepperPower($F$23,$G$23,$H$23,$J$23,$K$23,$L$23,$C$2,$N$23,$Q41)</f>
        <v>#VALUE!</v>
      </c>
      <c r="AV41" s="7" t="e">
        <f>StepperPower($F$24,$G$24,$H$24,$J$24,$K$24,$L$24,$C$2,$N$24,$Q41)</f>
        <v>#VALUE!</v>
      </c>
      <c r="AW41" s="7" t="e">
        <f>StepperPower($F$25,$G$25,$H$25,$J$25,$K$25,$L$25,$C$2,$N$25,$Q41)</f>
        <v>#VALUE!</v>
      </c>
      <c r="AX41" s="7" t="e">
        <f>StepperPower($F$26,$G$26,$H$26,$J$26,$K$26,$L$26,$C$2,$N$26,$Q41)</f>
        <v>#VALUE!</v>
      </c>
      <c r="AY41" s="7" t="e">
        <f>StepperPower($F$27,$G$27,$H$27,$J$27,$K$27,$L$27,$C$2,$N$27,$Q41)</f>
        <v>#VALUE!</v>
      </c>
      <c r="AZ41" s="7" t="e">
        <f>StepperPower($F$28,$G$28,$H$28,$J$28,$K$28,$L$28,$C$2,$N$28,$Q41)</f>
        <v>#VALUE!</v>
      </c>
      <c r="BA41" s="7" t="e">
        <f>StepperPower($F$29,$G$29,$H$29,$J$29,$K$29,$L$29,$C$2,$N$29,$Q41)</f>
        <v>#VALUE!</v>
      </c>
      <c r="BB41" s="7" t="e">
        <f>StepperPower($F$30,$G$30,$H$30,$J$30,$K$30,$L$30,$C$2,$N$30,$Q41)</f>
        <v>#VALUE!</v>
      </c>
      <c r="BC41" s="7"/>
    </row>
    <row r="42" spans="3:55" x14ac:dyDescent="0.25">
      <c r="C42" s="1"/>
      <c r="E42" s="1"/>
      <c r="Q42">
        <f t="shared" si="3"/>
        <v>19.5</v>
      </c>
      <c r="R42">
        <f t="shared" si="6"/>
        <v>780</v>
      </c>
      <c r="T42" s="7" cm="1">
        <f t="array" aca="1" ref="T42" ca="1">(_xlfn.SINGLE(SingleCoilTorque($F$15,$G$15,IF($I$15="",$H$15,INDEX(INDIRECT(_xlfn.CONCAT($I$15,"[Torque]")),MATCH(MIN(ABS(INDIRECT(_xlfn.CONCAT($I$15,"[RPM]"))-$R42*60/2/$C$6)),ABS(INDIRECT(_xlfn.CONCAT($I$15,"[RPM]"))-$R42*60/2/$C$6),0))*100),$J$15,$K$15,$L$15,$C$2,$N$15,$Q42))-$O$15)*$C$8</f>
        <v>21.266726981114655</v>
      </c>
      <c r="U42" s="7" cm="1">
        <f t="array" aca="1" ref="U42" ca="1">(_xlfn.SINGLE(SingleCoilTorque($F$16,$G$16,IF($I$16="",$H$16,INDEX(INDIRECT(_xlfn.CONCAT($I$16,"[Torque]")),MATCH(MIN(ABS(INDIRECT(_xlfn.CONCAT($I$16,"[RPM]"))-$R42*60/2/$C$6)),ABS(INDIRECT(_xlfn.CONCAT($I$16,"[RPM]"))-$R42*60/2/$C$6),0))*100),$J$16,$K$16,$L$16,$C$2,$N$16,$Q42))-$O$16)*$C$8</f>
        <v>36.213882181706659</v>
      </c>
      <c r="V42" s="7" cm="1">
        <f t="array" aca="1" ref="V42" ca="1">(_xlfn.SINGLE(SingleCoilTorque($F$17,$G$17,IF($I$17="",$H$17,INDEX(INDIRECT(_xlfn.CONCAT($I$17,"[Torque]")),MATCH(MIN(ABS(INDIRECT(_xlfn.CONCAT($I$17,"[RPM]"))-$R42*60/2/$C$6)),ABS(INDIRECT(_xlfn.CONCAT($I$17,"[RPM]"))-$R42*60/2/$C$6),0))*100),$J$17,$K$17,$L$17,$C$2,$N$17,$Q42))-$O$17)*$C$8</f>
        <v>23.693392393225896</v>
      </c>
      <c r="W42" s="7" t="e" cm="1">
        <f t="array" aca="1" ref="W42" ca="1">(_xlfn.SINGLE(SingleCoilTorque($F$18,$G$18,IF($I$18="",$H$18,INDEX(INDIRECT(_xlfn.CONCAT($I$18,"[Torque]")),MATCH(MIN(ABS(INDIRECT(_xlfn.CONCAT($I$18,"[RPM]"))-$R42*60/2/$C$6)),ABS(INDIRECT(_xlfn.CONCAT($I$18,"[RPM]"))-$R42*60/2/$C$6),0))*100),$J$18,$K$18,$L$18,$C$2,$N$18,$Q42))-$O$18)*$C$8</f>
        <v>#VALUE!</v>
      </c>
      <c r="X42" s="7" t="e" cm="1">
        <f t="array" aca="1" ref="X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Y42" s="7" t="e" cm="1">
        <f t="array" aca="1" ref="Y42" ca="1">(_xlfn.SINGLE(SingleCoilTorque($F$20,$G$20,IF($I$20="",$H$20,INDEX(INDIRECT(_xlfn.CONCAT($I$20,"[Torque]")),MATCH(MIN(ABS(INDIRECT(_xlfn.CONCAT($I$20,"[RPM]"))-$R42*60/2/$C$6)),ABS(INDIRECT(_xlfn.CONCAT($I$20,"[RPM]"))-$R42*60/2/$C$6),0))*100),$J$20,$K$20,$L$20,$C$2,$N$20,$Q42))-$O$20)*$C$8</f>
        <v>#VALUE!</v>
      </c>
      <c r="Z42" s="7" t="e" cm="1">
        <f t="array" aca="1" ref="Z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A42" s="7" t="e" cm="1">
        <f t="array" aca="1" ref="AA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B42" s="7" t="e" cm="1">
        <f t="array" aca="1" ref="AB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C42" s="7" t="e" cm="1">
        <f t="array" aca="1" ref="AC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D42" s="7" t="e" cm="1">
        <f t="array" aca="1" ref="AD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E42" s="7" t="e" cm="1">
        <f t="array" aca="1" ref="AE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F42" s="7" t="e" cm="1">
        <f t="array" aca="1" ref="AF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G42" s="7" t="e" cm="1">
        <f t="array" aca="1" ref="AG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H42" s="7" t="e" cm="1">
        <f t="array" aca="1" ref="AH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I42" s="7" t="e" cm="1">
        <f t="array" aca="1" ref="AI42" ca="1">(_xlfn.SINGLE(SingleCoilTorque($F$19,$G$19,IF($I$19="",$H$19,INDEX(INDIRECT(_xlfn.CONCAT($I$19,"[Torque]")),MATCH(MIN(ABS(INDIRECT(_xlfn.CONCAT($I$19,"[RPM]"))-$R42*60/2/$C$6)),ABS(INDIRECT(_xlfn.CONCAT($I$19,"[RPM]"))-$R42*60/2/$C$6),0))*100),$J$19,$K$19,$L$19,$C$2,$N$19,$Q42))-$O$19)*$C$8</f>
        <v>#VALUE!</v>
      </c>
      <c r="AJ42" s="7">
        <f t="shared" si="7"/>
        <v>23.8732414637843</v>
      </c>
      <c r="AL42">
        <f t="shared" si="2"/>
        <v>780</v>
      </c>
      <c r="AM42" s="7">
        <f>StepperPower($F$15,$G$15,$H$15,$J$15,$K$15,$L$15,$C$2,$N$15,$Q42)</f>
        <v>58.563654094795162</v>
      </c>
      <c r="AN42" s="7">
        <f>StepperPower($F$16,$G$16,$H$16,$J$16,$K$16,$L$16,$C$2,$N$16,$Q42)</f>
        <v>57.613048090523343</v>
      </c>
      <c r="AO42" s="7">
        <f>StepperPower($F$17,$G$17,$H$17,$J$17,$K$17,$L$17,$C$2,$N$17,$Q42)</f>
        <v>37.465032146129012</v>
      </c>
      <c r="AP42" s="7" t="e">
        <f>StepperPower($F$18,$G$18,$H$18,$J$18,$K$18,$L$18,$C$2,$N$18,$Q42)</f>
        <v>#VALUE!</v>
      </c>
      <c r="AQ42" s="7" t="e">
        <f>StepperPower($F$19,$G$19,$H$19,$J$19,$K$19,$L$19,$C$2,$N$19,$Q42)</f>
        <v>#VALUE!</v>
      </c>
      <c r="AR42" s="7" t="e">
        <f>StepperPower($F$20,$G$20,$H$20,$J$20,$K$20,$L$20,$C$2,$N$20,$Q42)</f>
        <v>#VALUE!</v>
      </c>
      <c r="AS42" s="7" t="e">
        <f>StepperPower($F$21,$G$21,$H$21,$J$21,$K$21,$L$21,$C$2,$N$21,$Q42)</f>
        <v>#VALUE!</v>
      </c>
      <c r="AT42" s="7" t="e">
        <f>StepperPower($F$22,$G$22,$H$22,$J$22,$K$22,$L$22,$C$2,$N$22,$Q42)</f>
        <v>#VALUE!</v>
      </c>
      <c r="AU42" s="7" t="e">
        <f>StepperPower($F$23,$G$23,$H$23,$J$23,$K$23,$L$23,$C$2,$N$23,$Q42)</f>
        <v>#VALUE!</v>
      </c>
      <c r="AV42" s="7" t="e">
        <f>StepperPower($F$24,$G$24,$H$24,$J$24,$K$24,$L$24,$C$2,$N$24,$Q42)</f>
        <v>#VALUE!</v>
      </c>
      <c r="AW42" s="7" t="e">
        <f>StepperPower($F$25,$G$25,$H$25,$J$25,$K$25,$L$25,$C$2,$N$25,$Q42)</f>
        <v>#VALUE!</v>
      </c>
      <c r="AX42" s="7" t="e">
        <f>StepperPower($F$26,$G$26,$H$26,$J$26,$K$26,$L$26,$C$2,$N$26,$Q42)</f>
        <v>#VALUE!</v>
      </c>
      <c r="AY42" s="7" t="e">
        <f>StepperPower($F$27,$G$27,$H$27,$J$27,$K$27,$L$27,$C$2,$N$27,$Q42)</f>
        <v>#VALUE!</v>
      </c>
      <c r="AZ42" s="7" t="e">
        <f>StepperPower($F$28,$G$28,$H$28,$J$28,$K$28,$L$28,$C$2,$N$28,$Q42)</f>
        <v>#VALUE!</v>
      </c>
      <c r="BA42" s="7" t="e">
        <f>StepperPower($F$29,$G$29,$H$29,$J$29,$K$29,$L$29,$C$2,$N$29,$Q42)</f>
        <v>#VALUE!</v>
      </c>
      <c r="BB42" s="7" t="e">
        <f>StepperPower($F$30,$G$30,$H$30,$J$30,$K$30,$L$30,$C$2,$N$30,$Q42)</f>
        <v>#VALUE!</v>
      </c>
      <c r="BC42" s="7"/>
    </row>
    <row r="43" spans="3:55" x14ac:dyDescent="0.25">
      <c r="C43" s="1"/>
      <c r="E43" s="1"/>
      <c r="Q43">
        <f t="shared" si="3"/>
        <v>20</v>
      </c>
      <c r="R43">
        <f t="shared" si="6"/>
        <v>800</v>
      </c>
      <c r="T43" s="7" cm="1">
        <f t="array" aca="1" ref="T43" ca="1">(_xlfn.SINGLE(SingleCoilTorque($F$15,$G$15,IF($I$15="",$H$15,INDEX(INDIRECT(_xlfn.CONCAT($I$15,"[Torque]")),MATCH(MIN(ABS(INDIRECT(_xlfn.CONCAT($I$15,"[RPM]"))-$R43*60/2/$C$6)),ABS(INDIRECT(_xlfn.CONCAT($I$15,"[RPM]"))-$R43*60/2/$C$6),0))*100),$J$15,$K$15,$L$15,$C$2,$N$15,$Q43))-$O$15)*$C$8</f>
        <v>19.795722737833184</v>
      </c>
      <c r="U43" s="7" cm="1">
        <f t="array" aca="1" ref="U43" ca="1">(_xlfn.SINGLE(SingleCoilTorque($F$16,$G$16,IF($I$16="",$H$16,INDEX(INDIRECT(_xlfn.CONCAT($I$16,"[Torque]")),MATCH(MIN(ABS(INDIRECT(_xlfn.CONCAT($I$16,"[RPM]"))-$R43*60/2/$C$6)),ABS(INDIRECT(_xlfn.CONCAT($I$16,"[RPM]"))-$R43*60/2/$C$6),0))*100),$J$16,$K$16,$L$16,$C$2,$N$16,$Q43))-$O$16)*$C$8</f>
        <v>36.213882181706659</v>
      </c>
      <c r="V43" s="7" cm="1">
        <f t="array" aca="1" ref="V43" ca="1">(_xlfn.SINGLE(SingleCoilTorque($F$17,$G$17,IF($I$17="",$H$17,INDEX(INDIRECT(_xlfn.CONCAT($I$17,"[Torque]")),MATCH(MIN(ABS(INDIRECT(_xlfn.CONCAT($I$17,"[RPM]"))-$R43*60/2/$C$6)),ABS(INDIRECT(_xlfn.CONCAT($I$17,"[RPM]"))-$R43*60/2/$C$6),0))*100),$J$17,$K$17,$L$17,$C$2,$N$17,$Q43))-$O$17)*$C$8</f>
        <v>22.471347219084642</v>
      </c>
      <c r="W43" s="7" t="e" cm="1">
        <f t="array" aca="1" ref="W43" ca="1">(_xlfn.SINGLE(SingleCoilTorque($F$18,$G$18,IF($I$18="",$H$18,INDEX(INDIRECT(_xlfn.CONCAT($I$18,"[Torque]")),MATCH(MIN(ABS(INDIRECT(_xlfn.CONCAT($I$18,"[RPM]"))-$R43*60/2/$C$6)),ABS(INDIRECT(_xlfn.CONCAT($I$18,"[RPM]"))-$R43*60/2/$C$6),0))*100),$J$18,$K$18,$L$18,$C$2,$N$18,$Q43))-$O$18)*$C$8</f>
        <v>#VALUE!</v>
      </c>
      <c r="X43" s="7" t="e" cm="1">
        <f t="array" aca="1" ref="X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Y43" s="7" t="e" cm="1">
        <f t="array" aca="1" ref="Y43" ca="1">(_xlfn.SINGLE(SingleCoilTorque($F$20,$G$20,IF($I$20="",$H$20,INDEX(INDIRECT(_xlfn.CONCAT($I$20,"[Torque]")),MATCH(MIN(ABS(INDIRECT(_xlfn.CONCAT($I$20,"[RPM]"))-$R43*60/2/$C$6)),ABS(INDIRECT(_xlfn.CONCAT($I$20,"[RPM]"))-$R43*60/2/$C$6),0))*100),$J$20,$K$20,$L$20,$C$2,$N$20,$Q43))-$O$20)*$C$8</f>
        <v>#VALUE!</v>
      </c>
      <c r="Z43" s="7" t="e" cm="1">
        <f t="array" aca="1" ref="Z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A43" s="7" t="e" cm="1">
        <f t="array" aca="1" ref="AA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B43" s="7" t="e" cm="1">
        <f t="array" aca="1" ref="AB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C43" s="7" t="e" cm="1">
        <f t="array" aca="1" ref="AC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D43" s="7" t="e" cm="1">
        <f t="array" aca="1" ref="AD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E43" s="7" t="e" cm="1">
        <f t="array" aca="1" ref="AE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F43" s="7" t="e" cm="1">
        <f t="array" aca="1" ref="AF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G43" s="7" t="e" cm="1">
        <f t="array" aca="1" ref="AG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H43" s="7" t="e" cm="1">
        <f t="array" aca="1" ref="AH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I43" s="7" t="e" cm="1">
        <f t="array" aca="1" ref="AI43" ca="1">(_xlfn.SINGLE(SingleCoilTorque($F$19,$G$19,IF($I$19="",$H$19,INDEX(INDIRECT(_xlfn.CONCAT($I$19,"[Torque]")),MATCH(MIN(ABS(INDIRECT(_xlfn.CONCAT($I$19,"[RPM]"))-$R43*60/2/$C$6)),ABS(INDIRECT(_xlfn.CONCAT($I$19,"[RPM]"))-$R43*60/2/$C$6),0))*100),$J$19,$K$19,$L$19,$C$2,$N$19,$Q43))-$O$19)*$C$8</f>
        <v>#VALUE!</v>
      </c>
      <c r="AJ43" s="7">
        <f t="shared" si="7"/>
        <v>23.8732414637843</v>
      </c>
      <c r="AL43">
        <f t="shared" si="2"/>
        <v>800</v>
      </c>
      <c r="AM43" s="7">
        <f>StepperPower($F$15,$G$15,$H$15,$J$15,$K$15,$L$15,$C$2,$N$15,$Q43)</f>
        <v>56.939516928455994</v>
      </c>
      <c r="AN43" s="7">
        <f>StepperPower($F$16,$G$16,$H$16,$J$16,$K$16,$L$16,$C$2,$N$16,$Q43)</f>
        <v>57.274555473933653</v>
      </c>
      <c r="AO43" s="7">
        <f>StepperPower($F$17,$G$17,$H$17,$J$17,$K$17,$L$17,$C$2,$N$17,$Q43)</f>
        <v>36.077938953352309</v>
      </c>
      <c r="AP43" s="7" t="e">
        <f>StepperPower($F$18,$G$18,$H$18,$J$18,$K$18,$L$18,$C$2,$N$18,$Q43)</f>
        <v>#VALUE!</v>
      </c>
      <c r="AQ43" s="7" t="e">
        <f>StepperPower($F$19,$G$19,$H$19,$J$19,$K$19,$L$19,$C$2,$N$19,$Q43)</f>
        <v>#VALUE!</v>
      </c>
      <c r="AR43" s="7" t="e">
        <f>StepperPower($F$20,$G$20,$H$20,$J$20,$K$20,$L$20,$C$2,$N$20,$Q43)</f>
        <v>#VALUE!</v>
      </c>
      <c r="AS43" s="7" t="e">
        <f>StepperPower($F$21,$G$21,$H$21,$J$21,$K$21,$L$21,$C$2,$N$21,$Q43)</f>
        <v>#VALUE!</v>
      </c>
      <c r="AT43" s="7" t="e">
        <f>StepperPower($F$22,$G$22,$H$22,$J$22,$K$22,$L$22,$C$2,$N$22,$Q43)</f>
        <v>#VALUE!</v>
      </c>
      <c r="AU43" s="7" t="e">
        <f>StepperPower($F$23,$G$23,$H$23,$J$23,$K$23,$L$23,$C$2,$N$23,$Q43)</f>
        <v>#VALUE!</v>
      </c>
      <c r="AV43" s="7" t="e">
        <f>StepperPower($F$24,$G$24,$H$24,$J$24,$K$24,$L$24,$C$2,$N$24,$Q43)</f>
        <v>#VALUE!</v>
      </c>
      <c r="AW43" s="7" t="e">
        <f>StepperPower($F$25,$G$25,$H$25,$J$25,$K$25,$L$25,$C$2,$N$25,$Q43)</f>
        <v>#VALUE!</v>
      </c>
      <c r="AX43" s="7" t="e">
        <f>StepperPower($F$26,$G$26,$H$26,$J$26,$K$26,$L$26,$C$2,$N$26,$Q43)</f>
        <v>#VALUE!</v>
      </c>
      <c r="AY43" s="7" t="e">
        <f>StepperPower($F$27,$G$27,$H$27,$J$27,$K$27,$L$27,$C$2,$N$27,$Q43)</f>
        <v>#VALUE!</v>
      </c>
      <c r="AZ43" s="7" t="e">
        <f>StepperPower($F$28,$G$28,$H$28,$J$28,$K$28,$L$28,$C$2,$N$28,$Q43)</f>
        <v>#VALUE!</v>
      </c>
      <c r="BA43" s="7" t="e">
        <f>StepperPower($F$29,$G$29,$H$29,$J$29,$K$29,$L$29,$C$2,$N$29,$Q43)</f>
        <v>#VALUE!</v>
      </c>
      <c r="BB43" s="7" t="e">
        <f>StepperPower($F$30,$G$30,$H$30,$J$30,$K$30,$L$30,$C$2,$N$30,$Q43)</f>
        <v>#VALUE!</v>
      </c>
      <c r="BC43" s="7"/>
    </row>
    <row r="44" spans="3:55" x14ac:dyDescent="0.25">
      <c r="C44" s="1"/>
      <c r="E44" s="1"/>
      <c r="Q44">
        <f t="shared" si="3"/>
        <v>20.5</v>
      </c>
      <c r="R44">
        <f t="shared" si="6"/>
        <v>820</v>
      </c>
      <c r="T44" s="7" cm="1">
        <f t="array" aca="1" ref="T44" ca="1">(_xlfn.SINGLE(SingleCoilTorque($F$15,$G$15,IF($I$15="",$H$15,INDEX(INDIRECT(_xlfn.CONCAT($I$15,"[Torque]")),MATCH(MIN(ABS(INDIRECT(_xlfn.CONCAT($I$15,"[RPM]"))-$R44*60/2/$C$6)),ABS(INDIRECT(_xlfn.CONCAT($I$15,"[RPM]"))-$R44*60/2/$C$6),0))*100),$J$15,$K$15,$L$15,$C$2,$N$15,$Q44))-$O$15)*$C$8</f>
        <v>19.795722737833184</v>
      </c>
      <c r="U44" s="7" cm="1">
        <f t="array" aca="1" ref="U44" ca="1">(_xlfn.SINGLE(SingleCoilTorque($F$16,$G$16,IF($I$16="",$H$16,INDEX(INDIRECT(_xlfn.CONCAT($I$16,"[Torque]")),MATCH(MIN(ABS(INDIRECT(_xlfn.CONCAT($I$16,"[RPM]"))-$R44*60/2/$C$6)),ABS(INDIRECT(_xlfn.CONCAT($I$16,"[RPM]"))-$R44*60/2/$C$6),0))*100),$J$16,$K$16,$L$16,$C$2,$N$16,$Q44))-$O$16)*$C$8</f>
        <v>36.213882181706659</v>
      </c>
      <c r="V44" s="7" cm="1">
        <f t="array" aca="1" ref="V44" ca="1">(_xlfn.SINGLE(SingleCoilTorque($F$17,$G$17,IF($I$17="",$H$17,INDEX(INDIRECT(_xlfn.CONCAT($I$17,"[Torque]")),MATCH(MIN(ABS(INDIRECT(_xlfn.CONCAT($I$17,"[RPM]"))-$R44*60/2/$C$6)),ABS(INDIRECT(_xlfn.CONCAT($I$17,"[RPM]"))-$R44*60/2/$C$6),0))*100),$J$17,$K$17,$L$17,$C$2,$N$17,$Q44))-$O$17)*$C$8</f>
        <v>21.305291538221645</v>
      </c>
      <c r="W44" s="7" t="e" cm="1">
        <f t="array" aca="1" ref="W44" ca="1">(_xlfn.SINGLE(SingleCoilTorque($F$18,$G$18,IF($I$18="",$H$18,INDEX(INDIRECT(_xlfn.CONCAT($I$18,"[Torque]")),MATCH(MIN(ABS(INDIRECT(_xlfn.CONCAT($I$18,"[RPM]"))-$R44*60/2/$C$6)),ABS(INDIRECT(_xlfn.CONCAT($I$18,"[RPM]"))-$R44*60/2/$C$6),0))*100),$J$18,$K$18,$L$18,$C$2,$N$18,$Q44))-$O$18)*$C$8</f>
        <v>#VALUE!</v>
      </c>
      <c r="X44" s="7" t="e" cm="1">
        <f t="array" aca="1" ref="X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Y44" s="7" t="e" cm="1">
        <f t="array" aca="1" ref="Y44" ca="1">(_xlfn.SINGLE(SingleCoilTorque($F$20,$G$20,IF($I$20="",$H$20,INDEX(INDIRECT(_xlfn.CONCAT($I$20,"[Torque]")),MATCH(MIN(ABS(INDIRECT(_xlfn.CONCAT($I$20,"[RPM]"))-$R44*60/2/$C$6)),ABS(INDIRECT(_xlfn.CONCAT($I$20,"[RPM]"))-$R44*60/2/$C$6),0))*100),$J$20,$K$20,$L$20,$C$2,$N$20,$Q44))-$O$20)*$C$8</f>
        <v>#VALUE!</v>
      </c>
      <c r="Z44" s="7" t="e" cm="1">
        <f t="array" aca="1" ref="Z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A44" s="7" t="e" cm="1">
        <f t="array" aca="1" ref="AA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B44" s="7" t="e" cm="1">
        <f t="array" aca="1" ref="AB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C44" s="7" t="e" cm="1">
        <f t="array" aca="1" ref="AC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D44" s="7" t="e" cm="1">
        <f t="array" aca="1" ref="AD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E44" s="7" t="e" cm="1">
        <f t="array" aca="1" ref="AE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F44" s="7" t="e" cm="1">
        <f t="array" aca="1" ref="AF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G44" s="7" t="e" cm="1">
        <f t="array" aca="1" ref="AG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H44" s="7" t="e" cm="1">
        <f t="array" aca="1" ref="AH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I44" s="7" t="e" cm="1">
        <f t="array" aca="1" ref="AI44" ca="1">(_xlfn.SINGLE(SingleCoilTorque($F$19,$G$19,IF($I$19="",$H$19,INDEX(INDIRECT(_xlfn.CONCAT($I$19,"[Torque]")),MATCH(MIN(ABS(INDIRECT(_xlfn.CONCAT($I$19,"[RPM]"))-$R44*60/2/$C$6)),ABS(INDIRECT(_xlfn.CONCAT($I$19,"[RPM]"))-$R44*60/2/$C$6),0))*100),$J$19,$K$19,$L$19,$C$2,$N$19,$Q44))-$O$19)*$C$8</f>
        <v>#VALUE!</v>
      </c>
      <c r="AJ44" s="7">
        <f t="shared" si="7"/>
        <v>23.8732414637843</v>
      </c>
      <c r="AL44">
        <f t="shared" si="2"/>
        <v>820</v>
      </c>
      <c r="AM44" s="7">
        <f>StepperPower($F$15,$G$15,$H$15,$J$15,$K$15,$L$15,$C$2,$N$15,$Q44)</f>
        <v>55.346493451268465</v>
      </c>
      <c r="AN44" s="7">
        <f>StepperPower($F$16,$G$16,$H$16,$J$16,$K$16,$L$16,$C$2,$N$16,$Q44)</f>
        <v>55.899824551795376</v>
      </c>
      <c r="AO44" s="7">
        <f>StepperPower($F$17,$G$17,$H$17,$J$17,$K$17,$L$17,$C$2,$N$17,$Q44)</f>
        <v>34.703312932673896</v>
      </c>
      <c r="AP44" s="7" t="e">
        <f>StepperPower($F$18,$G$18,$H$18,$J$18,$K$18,$L$18,$C$2,$N$18,$Q44)</f>
        <v>#VALUE!</v>
      </c>
      <c r="AQ44" s="7" t="e">
        <f>StepperPower($F$19,$G$19,$H$19,$J$19,$K$19,$L$19,$C$2,$N$19,$Q44)</f>
        <v>#VALUE!</v>
      </c>
      <c r="AR44" s="7" t="e">
        <f>StepperPower($F$20,$G$20,$H$20,$J$20,$K$20,$L$20,$C$2,$N$20,$Q44)</f>
        <v>#VALUE!</v>
      </c>
      <c r="AS44" s="7" t="e">
        <f>StepperPower($F$21,$G$21,$H$21,$J$21,$K$21,$L$21,$C$2,$N$21,$Q44)</f>
        <v>#VALUE!</v>
      </c>
      <c r="AT44" s="7" t="e">
        <f>StepperPower($F$22,$G$22,$H$22,$J$22,$K$22,$L$22,$C$2,$N$22,$Q44)</f>
        <v>#VALUE!</v>
      </c>
      <c r="AU44" s="7" t="e">
        <f>StepperPower($F$23,$G$23,$H$23,$J$23,$K$23,$L$23,$C$2,$N$23,$Q44)</f>
        <v>#VALUE!</v>
      </c>
      <c r="AV44" s="7" t="e">
        <f>StepperPower($F$24,$G$24,$H$24,$J$24,$K$24,$L$24,$C$2,$N$24,$Q44)</f>
        <v>#VALUE!</v>
      </c>
      <c r="AW44" s="7" t="e">
        <f>StepperPower($F$25,$G$25,$H$25,$J$25,$K$25,$L$25,$C$2,$N$25,$Q44)</f>
        <v>#VALUE!</v>
      </c>
      <c r="AX44" s="7" t="e">
        <f>StepperPower($F$26,$G$26,$H$26,$J$26,$K$26,$L$26,$C$2,$N$26,$Q44)</f>
        <v>#VALUE!</v>
      </c>
      <c r="AY44" s="7" t="e">
        <f>StepperPower($F$27,$G$27,$H$27,$J$27,$K$27,$L$27,$C$2,$N$27,$Q44)</f>
        <v>#VALUE!</v>
      </c>
      <c r="AZ44" s="7" t="e">
        <f>StepperPower($F$28,$G$28,$H$28,$J$28,$K$28,$L$28,$C$2,$N$28,$Q44)</f>
        <v>#VALUE!</v>
      </c>
      <c r="BA44" s="7" t="e">
        <f>StepperPower($F$29,$G$29,$H$29,$J$29,$K$29,$L$29,$C$2,$N$29,$Q44)</f>
        <v>#VALUE!</v>
      </c>
      <c r="BB44" s="7" t="e">
        <f>StepperPower($F$30,$G$30,$H$30,$J$30,$K$30,$L$30,$C$2,$N$30,$Q44)</f>
        <v>#VALUE!</v>
      </c>
      <c r="BC44" s="7"/>
    </row>
    <row r="45" spans="3:55" x14ac:dyDescent="0.25">
      <c r="C45" s="1"/>
      <c r="E45" s="1"/>
      <c r="Q45">
        <f t="shared" si="3"/>
        <v>21</v>
      </c>
      <c r="R45">
        <f t="shared" si="6"/>
        <v>840</v>
      </c>
      <c r="T45" s="7" cm="1">
        <f t="array" aca="1" ref="T45" ca="1">(_xlfn.SINGLE(SingleCoilTorque($F$15,$G$15,IF($I$15="",$H$15,INDEX(INDIRECT(_xlfn.CONCAT($I$15,"[Torque]")),MATCH(MIN(ABS(INDIRECT(_xlfn.CONCAT($I$15,"[RPM]"))-$R45*60/2/$C$6)),ABS(INDIRECT(_xlfn.CONCAT($I$15,"[RPM]"))-$R45*60/2/$C$6),0))*100),$J$15,$K$15,$L$15,$C$2,$N$15,$Q45))-$O$15)*$C$8</f>
        <v>19.795722737833184</v>
      </c>
      <c r="U45" s="7" cm="1">
        <f t="array" aca="1" ref="U45" ca="1">(_xlfn.SINGLE(SingleCoilTorque($F$16,$G$16,IF($I$16="",$H$16,INDEX(INDIRECT(_xlfn.CONCAT($I$16,"[Torque]")),MATCH(MIN(ABS(INDIRECT(_xlfn.CONCAT($I$16,"[RPM]"))-$R45*60/2/$C$6)),ABS(INDIRECT(_xlfn.CONCAT($I$16,"[RPM]"))-$R45*60/2/$C$6),0))*100),$J$16,$K$16,$L$16,$C$2,$N$16,$Q45))-$O$16)*$C$8</f>
        <v>33.385027867703826</v>
      </c>
      <c r="V45" s="7" cm="1">
        <f t="array" aca="1" ref="V45" ca="1">(_xlfn.SINGLE(SingleCoilTorque($F$17,$G$17,IF($I$17="",$H$17,INDEX(INDIRECT(_xlfn.CONCAT($I$17,"[Torque]")),MATCH(MIN(ABS(INDIRECT(_xlfn.CONCAT($I$17,"[RPM]"))-$R45*60/2/$C$6)),ABS(INDIRECT(_xlfn.CONCAT($I$17,"[RPM]"))-$R45*60/2/$C$6),0))*100),$J$17,$K$17,$L$17,$C$2,$N$17,$Q45))-$O$17)*$C$8</f>
        <v>19.114077297342956</v>
      </c>
      <c r="W45" s="7" t="e" cm="1">
        <f t="array" aca="1" ref="W45" ca="1">(_xlfn.SINGLE(SingleCoilTorque($F$18,$G$18,IF($I$18="",$H$18,INDEX(INDIRECT(_xlfn.CONCAT($I$18,"[Torque]")),MATCH(MIN(ABS(INDIRECT(_xlfn.CONCAT($I$18,"[RPM]"))-$R45*60/2/$C$6)),ABS(INDIRECT(_xlfn.CONCAT($I$18,"[RPM]"))-$R45*60/2/$C$6),0))*100),$J$18,$K$18,$L$18,$C$2,$N$18,$Q45))-$O$18)*$C$8</f>
        <v>#VALUE!</v>
      </c>
      <c r="X45" s="7" t="e" cm="1">
        <f t="array" aca="1" ref="X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Y45" s="7" t="e" cm="1">
        <f t="array" aca="1" ref="Y45" ca="1">(_xlfn.SINGLE(SingleCoilTorque($F$20,$G$20,IF($I$20="",$H$20,INDEX(INDIRECT(_xlfn.CONCAT($I$20,"[Torque]")),MATCH(MIN(ABS(INDIRECT(_xlfn.CONCAT($I$20,"[RPM]"))-$R45*60/2/$C$6)),ABS(INDIRECT(_xlfn.CONCAT($I$20,"[RPM]"))-$R45*60/2/$C$6),0))*100),$J$20,$K$20,$L$20,$C$2,$N$20,$Q45))-$O$20)*$C$8</f>
        <v>#VALUE!</v>
      </c>
      <c r="Z45" s="7" t="e" cm="1">
        <f t="array" aca="1" ref="Z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A45" s="7" t="e" cm="1">
        <f t="array" aca="1" ref="AA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B45" s="7" t="e" cm="1">
        <f t="array" aca="1" ref="AB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C45" s="7" t="e" cm="1">
        <f t="array" aca="1" ref="AC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D45" s="7" t="e" cm="1">
        <f t="array" aca="1" ref="AD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E45" s="7" t="e" cm="1">
        <f t="array" aca="1" ref="AE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F45" s="7" t="e" cm="1">
        <f t="array" aca="1" ref="AF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G45" s="7" t="e" cm="1">
        <f t="array" aca="1" ref="AG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H45" s="7" t="e" cm="1">
        <f t="array" aca="1" ref="AH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I45" s="7" t="e" cm="1">
        <f t="array" aca="1" ref="AI45" ca="1">(_xlfn.SINGLE(SingleCoilTorque($F$19,$G$19,IF($I$19="",$H$19,INDEX(INDIRECT(_xlfn.CONCAT($I$19,"[Torque]")),MATCH(MIN(ABS(INDIRECT(_xlfn.CONCAT($I$19,"[RPM]"))-$R45*60/2/$C$6)),ABS(INDIRECT(_xlfn.CONCAT($I$19,"[RPM]"))-$R45*60/2/$C$6),0))*100),$J$19,$K$19,$L$19,$C$2,$N$19,$Q45))-$O$19)*$C$8</f>
        <v>#VALUE!</v>
      </c>
      <c r="AJ45" s="7">
        <f t="shared" si="7"/>
        <v>23.8732414637843</v>
      </c>
      <c r="AL45">
        <f t="shared" si="2"/>
        <v>840</v>
      </c>
      <c r="AM45" s="7">
        <f>StepperPower($F$15,$G$15,$H$15,$J$15,$K$15,$L$15,$C$2,$N$15,$Q45)</f>
        <v>53.781213309251733</v>
      </c>
      <c r="AN45" s="7">
        <f>StepperPower($F$16,$G$16,$H$16,$J$16,$K$16,$L$16,$C$2,$N$16,$Q45)</f>
        <v>54.553361622789446</v>
      </c>
      <c r="AO45" s="7">
        <f>StepperPower($F$17,$G$17,$H$17,$J$17,$K$17,$L$17,$C$2,$N$17,$Q45)</f>
        <v>33.339636995084255</v>
      </c>
      <c r="AP45" s="7" t="e">
        <f>StepperPower($F$18,$G$18,$H$18,$J$18,$K$18,$L$18,$C$2,$N$18,$Q45)</f>
        <v>#VALUE!</v>
      </c>
      <c r="AQ45" s="7" t="e">
        <f>StepperPower($F$19,$G$19,$H$19,$J$19,$K$19,$L$19,$C$2,$N$19,$Q45)</f>
        <v>#VALUE!</v>
      </c>
      <c r="AR45" s="7" t="e">
        <f>StepperPower($F$20,$G$20,$H$20,$J$20,$K$20,$L$20,$C$2,$N$20,$Q45)</f>
        <v>#VALUE!</v>
      </c>
      <c r="AS45" s="7" t="e">
        <f>StepperPower($F$21,$G$21,$H$21,$J$21,$K$21,$L$21,$C$2,$N$21,$Q45)</f>
        <v>#VALUE!</v>
      </c>
      <c r="AT45" s="7" t="e">
        <f>StepperPower($F$22,$G$22,$H$22,$J$22,$K$22,$L$22,$C$2,$N$22,$Q45)</f>
        <v>#VALUE!</v>
      </c>
      <c r="AU45" s="7" t="e">
        <f>StepperPower($F$23,$G$23,$H$23,$J$23,$K$23,$L$23,$C$2,$N$23,$Q45)</f>
        <v>#VALUE!</v>
      </c>
      <c r="AV45" s="7" t="e">
        <f>StepperPower($F$24,$G$24,$H$24,$J$24,$K$24,$L$24,$C$2,$N$24,$Q45)</f>
        <v>#VALUE!</v>
      </c>
      <c r="AW45" s="7" t="e">
        <f>StepperPower($F$25,$G$25,$H$25,$J$25,$K$25,$L$25,$C$2,$N$25,$Q45)</f>
        <v>#VALUE!</v>
      </c>
      <c r="AX45" s="7" t="e">
        <f>StepperPower($F$26,$G$26,$H$26,$J$26,$K$26,$L$26,$C$2,$N$26,$Q45)</f>
        <v>#VALUE!</v>
      </c>
      <c r="AY45" s="7" t="e">
        <f>StepperPower($F$27,$G$27,$H$27,$J$27,$K$27,$L$27,$C$2,$N$27,$Q45)</f>
        <v>#VALUE!</v>
      </c>
      <c r="AZ45" s="7" t="e">
        <f>StepperPower($F$28,$G$28,$H$28,$J$28,$K$28,$L$28,$C$2,$N$28,$Q45)</f>
        <v>#VALUE!</v>
      </c>
      <c r="BA45" s="7" t="e">
        <f>StepperPower($F$29,$G$29,$H$29,$J$29,$K$29,$L$29,$C$2,$N$29,$Q45)</f>
        <v>#VALUE!</v>
      </c>
      <c r="BB45" s="7" t="e">
        <f>StepperPower($F$30,$G$30,$H$30,$J$30,$K$30,$L$30,$C$2,$N$30,$Q45)</f>
        <v>#VALUE!</v>
      </c>
      <c r="BC45" s="7"/>
    </row>
    <row r="46" spans="3:55" x14ac:dyDescent="0.25">
      <c r="C46" s="1"/>
      <c r="E46" s="1"/>
      <c r="Q46">
        <f t="shared" si="3"/>
        <v>21.5</v>
      </c>
      <c r="R46">
        <f t="shared" si="6"/>
        <v>860</v>
      </c>
      <c r="T46" s="7" cm="1">
        <f t="array" aca="1" ref="T46" ca="1">(_xlfn.SINGLE(SingleCoilTorque($F$15,$G$15,IF($I$15="",$H$15,INDEX(INDIRECT(_xlfn.CONCAT($I$15,"[Torque]")),MATCH(MIN(ABS(INDIRECT(_xlfn.CONCAT($I$15,"[RPM]"))-$R46*60/2/$C$6)),ABS(INDIRECT(_xlfn.CONCAT($I$15,"[RPM]"))-$R46*60/2/$C$6),0))*100),$J$15,$K$15,$L$15,$C$2,$N$15,$Q46))-$O$15)*$C$8</f>
        <v>19.795722737833184</v>
      </c>
      <c r="U46" s="7" cm="1">
        <f t="array" aca="1" ref="U46" ca="1">(_xlfn.SINGLE(SingleCoilTorque($F$16,$G$16,IF($I$16="",$H$16,INDEX(INDIRECT(_xlfn.CONCAT($I$16,"[Torque]")),MATCH(MIN(ABS(INDIRECT(_xlfn.CONCAT($I$16,"[RPM]"))-$R46*60/2/$C$6)),ABS(INDIRECT(_xlfn.CONCAT($I$16,"[RPM]"))-$R46*60/2/$C$6),0))*100),$J$16,$K$16,$L$16,$C$2,$N$16,$Q46))-$O$16)*$C$8</f>
        <v>33.385027867703826</v>
      </c>
      <c r="V46" s="7" cm="1">
        <f t="array" aca="1" ref="V46" ca="1">(_xlfn.SINGLE(SingleCoilTorque($F$17,$G$17,IF($I$17="",$H$17,INDEX(INDIRECT(_xlfn.CONCAT($I$17,"[Torque]")),MATCH(MIN(ABS(INDIRECT(_xlfn.CONCAT($I$17,"[RPM]"))-$R46*60/2/$C$6)),ABS(INDIRECT(_xlfn.CONCAT($I$17,"[RPM]"))-$R46*60/2/$C$6),0))*100),$J$17,$K$17,$L$17,$C$2,$N$17,$Q46))-$O$17)*$C$8</f>
        <v>18.104661980414932</v>
      </c>
      <c r="W46" s="7" t="e" cm="1">
        <f t="array" aca="1" ref="W46" ca="1">(_xlfn.SINGLE(SingleCoilTorque($F$18,$G$18,IF($I$18="",$H$18,INDEX(INDIRECT(_xlfn.CONCAT($I$18,"[Torque]")),MATCH(MIN(ABS(INDIRECT(_xlfn.CONCAT($I$18,"[RPM]"))-$R46*60/2/$C$6)),ABS(INDIRECT(_xlfn.CONCAT($I$18,"[RPM]"))-$R46*60/2/$C$6),0))*100),$J$18,$K$18,$L$18,$C$2,$N$18,$Q46))-$O$18)*$C$8</f>
        <v>#VALUE!</v>
      </c>
      <c r="X46" s="7" t="e" cm="1">
        <f t="array" aca="1" ref="X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Y46" s="7" t="e" cm="1">
        <f t="array" aca="1" ref="Y46" ca="1">(_xlfn.SINGLE(SingleCoilTorque($F$20,$G$20,IF($I$20="",$H$20,INDEX(INDIRECT(_xlfn.CONCAT($I$20,"[Torque]")),MATCH(MIN(ABS(INDIRECT(_xlfn.CONCAT($I$20,"[RPM]"))-$R46*60/2/$C$6)),ABS(INDIRECT(_xlfn.CONCAT($I$20,"[RPM]"))-$R46*60/2/$C$6),0))*100),$J$20,$K$20,$L$20,$C$2,$N$20,$Q46))-$O$20)*$C$8</f>
        <v>#VALUE!</v>
      </c>
      <c r="Z46" s="7" t="e" cm="1">
        <f t="array" aca="1" ref="Z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A46" s="7" t="e" cm="1">
        <f t="array" aca="1" ref="AA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B46" s="7" t="e" cm="1">
        <f t="array" aca="1" ref="AB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C46" s="7" t="e" cm="1">
        <f t="array" aca="1" ref="AC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D46" s="7" t="e" cm="1">
        <f t="array" aca="1" ref="AD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E46" s="7" t="e" cm="1">
        <f t="array" aca="1" ref="AE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F46" s="7" t="e" cm="1">
        <f t="array" aca="1" ref="AF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G46" s="7" t="e" cm="1">
        <f t="array" aca="1" ref="AG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H46" s="7" t="e" cm="1">
        <f t="array" aca="1" ref="AH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I46" s="7" t="e" cm="1">
        <f t="array" aca="1" ref="AI46" ca="1">(_xlfn.SINGLE(SingleCoilTorque($F$19,$G$19,IF($I$19="",$H$19,INDEX(INDIRECT(_xlfn.CONCAT($I$19,"[Torque]")),MATCH(MIN(ABS(INDIRECT(_xlfn.CONCAT($I$19,"[RPM]"))-$R46*60/2/$C$6)),ABS(INDIRECT(_xlfn.CONCAT($I$19,"[RPM]"))-$R46*60/2/$C$6),0))*100),$J$19,$K$19,$L$19,$C$2,$N$19,$Q46))-$O$19)*$C$8</f>
        <v>#VALUE!</v>
      </c>
      <c r="AJ46" s="7">
        <f t="shared" si="7"/>
        <v>23.8732414637843</v>
      </c>
      <c r="AL46">
        <f t="shared" si="2"/>
        <v>860</v>
      </c>
      <c r="AM46" s="7">
        <f>StepperPower($F$15,$G$15,$H$15,$J$15,$K$15,$L$15,$C$2,$N$15,$Q46)</f>
        <v>52.240704803044778</v>
      </c>
      <c r="AN46" s="7">
        <f>StepperPower($F$16,$G$16,$H$16,$J$16,$K$16,$L$16,$C$2,$N$16,$Q46)</f>
        <v>53.232237831818104</v>
      </c>
      <c r="AO46" s="7">
        <f>StepperPower($F$17,$G$17,$H$17,$J$17,$K$17,$L$17,$C$2,$N$17,$Q46)</f>
        <v>31.985585206638682</v>
      </c>
      <c r="AP46" s="7" t="e">
        <f>StepperPower($F$18,$G$18,$H$18,$J$18,$K$18,$L$18,$C$2,$N$18,$Q46)</f>
        <v>#VALUE!</v>
      </c>
      <c r="AQ46" s="7" t="e">
        <f>StepperPower($F$19,$G$19,$H$19,$J$19,$K$19,$L$19,$C$2,$N$19,$Q46)</f>
        <v>#VALUE!</v>
      </c>
      <c r="AR46" s="7" t="e">
        <f>StepperPower($F$20,$G$20,$H$20,$J$20,$K$20,$L$20,$C$2,$N$20,$Q46)</f>
        <v>#VALUE!</v>
      </c>
      <c r="AS46" s="7" t="e">
        <f>StepperPower($F$21,$G$21,$H$21,$J$21,$K$21,$L$21,$C$2,$N$21,$Q46)</f>
        <v>#VALUE!</v>
      </c>
      <c r="AT46" s="7" t="e">
        <f>StepperPower($F$22,$G$22,$H$22,$J$22,$K$22,$L$22,$C$2,$N$22,$Q46)</f>
        <v>#VALUE!</v>
      </c>
      <c r="AU46" s="7" t="e">
        <f>StepperPower($F$23,$G$23,$H$23,$J$23,$K$23,$L$23,$C$2,$N$23,$Q46)</f>
        <v>#VALUE!</v>
      </c>
      <c r="AV46" s="7" t="e">
        <f>StepperPower($F$24,$G$24,$H$24,$J$24,$K$24,$L$24,$C$2,$N$24,$Q46)</f>
        <v>#VALUE!</v>
      </c>
      <c r="AW46" s="7" t="e">
        <f>StepperPower($F$25,$G$25,$H$25,$J$25,$K$25,$L$25,$C$2,$N$25,$Q46)</f>
        <v>#VALUE!</v>
      </c>
      <c r="AX46" s="7" t="e">
        <f>StepperPower($F$26,$G$26,$H$26,$J$26,$K$26,$L$26,$C$2,$N$26,$Q46)</f>
        <v>#VALUE!</v>
      </c>
      <c r="AY46" s="7" t="e">
        <f>StepperPower($F$27,$G$27,$H$27,$J$27,$K$27,$L$27,$C$2,$N$27,$Q46)</f>
        <v>#VALUE!</v>
      </c>
      <c r="AZ46" s="7" t="e">
        <f>StepperPower($F$28,$G$28,$H$28,$J$28,$K$28,$L$28,$C$2,$N$28,$Q46)</f>
        <v>#VALUE!</v>
      </c>
      <c r="BA46" s="7" t="e">
        <f>StepperPower($F$29,$G$29,$H$29,$J$29,$K$29,$L$29,$C$2,$N$29,$Q46)</f>
        <v>#VALUE!</v>
      </c>
      <c r="BB46" s="7" t="e">
        <f>StepperPower($F$30,$G$30,$H$30,$J$30,$K$30,$L$30,$C$2,$N$30,$Q46)</f>
        <v>#VALUE!</v>
      </c>
      <c r="BC46" s="7"/>
    </row>
    <row r="47" spans="3:55" x14ac:dyDescent="0.25">
      <c r="C47" s="1"/>
      <c r="E47" s="1"/>
      <c r="Q47">
        <f t="shared" si="3"/>
        <v>22</v>
      </c>
      <c r="R47">
        <f t="shared" si="6"/>
        <v>880</v>
      </c>
      <c r="T47" s="7" cm="1">
        <f t="array" aca="1" ref="T47" ca="1">(_xlfn.SINGLE(SingleCoilTorque($F$15,$G$15,IF($I$15="",$H$15,INDEX(INDIRECT(_xlfn.CONCAT($I$15,"[Torque]")),MATCH(MIN(ABS(INDIRECT(_xlfn.CONCAT($I$15,"[RPM]"))-$R47*60/2/$C$6)),ABS(INDIRECT(_xlfn.CONCAT($I$15,"[RPM]"))-$R47*60/2/$C$6),0))*100),$J$15,$K$15,$L$15,$C$2,$N$15,$Q47))-$O$15)*$C$8</f>
        <v>19.795722737833184</v>
      </c>
      <c r="U47" s="7" cm="1">
        <f t="array" aca="1" ref="U47" ca="1">(_xlfn.SINGLE(SingleCoilTorque($F$16,$G$16,IF($I$16="",$H$16,INDEX(INDIRECT(_xlfn.CONCAT($I$16,"[Torque]")),MATCH(MIN(ABS(INDIRECT(_xlfn.CONCAT($I$16,"[RPM]"))-$R47*60/2/$C$6)),ABS(INDIRECT(_xlfn.CONCAT($I$16,"[RPM]"))-$R47*60/2/$C$6),0))*100),$J$16,$K$16,$L$16,$C$2,$N$16,$Q47))-$O$16)*$C$8</f>
        <v>33.385027867703826</v>
      </c>
      <c r="V47" s="7" cm="1">
        <f t="array" aca="1" ref="V47" ca="1">(_xlfn.SINGLE(SingleCoilTorque($F$17,$G$17,IF($I$17="",$H$17,INDEX(INDIRECT(_xlfn.CONCAT($I$17,"[Torque]")),MATCH(MIN(ABS(INDIRECT(_xlfn.CONCAT($I$17,"[RPM]"))-$R47*60/2/$C$6)),ABS(INDIRECT(_xlfn.CONCAT($I$17,"[RPM]"))-$R47*60/2/$C$6),0))*100),$J$17,$K$17,$L$17,$C$2,$N$17,$Q47))-$O$17)*$C$8</f>
        <v>17.138520307628252</v>
      </c>
      <c r="W47" s="7" t="e" cm="1">
        <f t="array" aca="1" ref="W47" ca="1">(_xlfn.SINGLE(SingleCoilTorque($F$18,$G$18,IF($I$18="",$H$18,INDEX(INDIRECT(_xlfn.CONCAT($I$18,"[Torque]")),MATCH(MIN(ABS(INDIRECT(_xlfn.CONCAT($I$18,"[RPM]"))-$R47*60/2/$C$6)),ABS(INDIRECT(_xlfn.CONCAT($I$18,"[RPM]"))-$R47*60/2/$C$6),0))*100),$J$18,$K$18,$L$18,$C$2,$N$18,$Q47))-$O$18)*$C$8</f>
        <v>#VALUE!</v>
      </c>
      <c r="X47" s="7" t="e" cm="1">
        <f t="array" aca="1" ref="X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Y47" s="7" t="e" cm="1">
        <f t="array" aca="1" ref="Y47" ca="1">(_xlfn.SINGLE(SingleCoilTorque($F$20,$G$20,IF($I$20="",$H$20,INDEX(INDIRECT(_xlfn.CONCAT($I$20,"[Torque]")),MATCH(MIN(ABS(INDIRECT(_xlfn.CONCAT($I$20,"[RPM]"))-$R47*60/2/$C$6)),ABS(INDIRECT(_xlfn.CONCAT($I$20,"[RPM]"))-$R47*60/2/$C$6),0))*100),$J$20,$K$20,$L$20,$C$2,$N$20,$Q47))-$O$20)*$C$8</f>
        <v>#VALUE!</v>
      </c>
      <c r="Z47" s="7" t="e" cm="1">
        <f t="array" aca="1" ref="Z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A47" s="7" t="e" cm="1">
        <f t="array" aca="1" ref="AA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B47" s="7" t="e" cm="1">
        <f t="array" aca="1" ref="AB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C47" s="7" t="e" cm="1">
        <f t="array" aca="1" ref="AC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D47" s="7" t="e" cm="1">
        <f t="array" aca="1" ref="AD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E47" s="7" t="e" cm="1">
        <f t="array" aca="1" ref="AE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F47" s="7" t="e" cm="1">
        <f t="array" aca="1" ref="AF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G47" s="7" t="e" cm="1">
        <f t="array" aca="1" ref="AG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H47" s="7" t="e" cm="1">
        <f t="array" aca="1" ref="AH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I47" s="7" t="e" cm="1">
        <f t="array" aca="1" ref="AI47" ca="1">(_xlfn.SINGLE(SingleCoilTorque($F$19,$G$19,IF($I$19="",$H$19,INDEX(INDIRECT(_xlfn.CONCAT($I$19,"[Torque]")),MATCH(MIN(ABS(INDIRECT(_xlfn.CONCAT($I$19,"[RPM]"))-$R47*60/2/$C$6)),ABS(INDIRECT(_xlfn.CONCAT($I$19,"[RPM]"))-$R47*60/2/$C$6),0))*100),$J$19,$K$19,$L$19,$C$2,$N$19,$Q47))-$O$19)*$C$8</f>
        <v>#VALUE!</v>
      </c>
      <c r="AJ47" s="7">
        <f t="shared" si="7"/>
        <v>23.8732414637843</v>
      </c>
      <c r="AL47">
        <f t="shared" si="2"/>
        <v>880</v>
      </c>
      <c r="AM47" s="7">
        <f>StepperPower($F$15,$G$15,$H$15,$J$15,$K$15,$L$15,$C$2,$N$15,$Q47)</f>
        <v>50.722341946559311</v>
      </c>
      <c r="AN47" s="7">
        <f>StepperPower($F$16,$G$16,$H$16,$J$16,$K$16,$L$16,$C$2,$N$16,$Q47)</f>
        <v>51.933861756224061</v>
      </c>
      <c r="AO47" s="7">
        <f>StepperPower($F$17,$G$17,$H$17,$J$17,$K$17,$L$17,$C$2,$N$17,$Q47)</f>
        <v>30.639996194317035</v>
      </c>
      <c r="AP47" s="7" t="e">
        <f>StepperPower($F$18,$G$18,$H$18,$J$18,$K$18,$L$18,$C$2,$N$18,$Q47)</f>
        <v>#VALUE!</v>
      </c>
      <c r="AQ47" s="7" t="e">
        <f>StepperPower($F$19,$G$19,$H$19,$J$19,$K$19,$L$19,$C$2,$N$19,$Q47)</f>
        <v>#VALUE!</v>
      </c>
      <c r="AR47" s="7" t="e">
        <f>StepperPower($F$20,$G$20,$H$20,$J$20,$K$20,$L$20,$C$2,$N$20,$Q47)</f>
        <v>#VALUE!</v>
      </c>
      <c r="AS47" s="7" t="e">
        <f>StepperPower($F$21,$G$21,$H$21,$J$21,$K$21,$L$21,$C$2,$N$21,$Q47)</f>
        <v>#VALUE!</v>
      </c>
      <c r="AT47" s="7" t="e">
        <f>StepperPower($F$22,$G$22,$H$22,$J$22,$K$22,$L$22,$C$2,$N$22,$Q47)</f>
        <v>#VALUE!</v>
      </c>
      <c r="AU47" s="7" t="e">
        <f>StepperPower($F$23,$G$23,$H$23,$J$23,$K$23,$L$23,$C$2,$N$23,$Q47)</f>
        <v>#VALUE!</v>
      </c>
      <c r="AV47" s="7" t="e">
        <f>StepperPower($F$24,$G$24,$H$24,$J$24,$K$24,$L$24,$C$2,$N$24,$Q47)</f>
        <v>#VALUE!</v>
      </c>
      <c r="AW47" s="7" t="e">
        <f>StepperPower($F$25,$G$25,$H$25,$J$25,$K$25,$L$25,$C$2,$N$25,$Q47)</f>
        <v>#VALUE!</v>
      </c>
      <c r="AX47" s="7" t="e">
        <f>StepperPower($F$26,$G$26,$H$26,$J$26,$K$26,$L$26,$C$2,$N$26,$Q47)</f>
        <v>#VALUE!</v>
      </c>
      <c r="AY47" s="7" t="e">
        <f>StepperPower($F$27,$G$27,$H$27,$J$27,$K$27,$L$27,$C$2,$N$27,$Q47)</f>
        <v>#VALUE!</v>
      </c>
      <c r="AZ47" s="7" t="e">
        <f>StepperPower($F$28,$G$28,$H$28,$J$28,$K$28,$L$28,$C$2,$N$28,$Q47)</f>
        <v>#VALUE!</v>
      </c>
      <c r="BA47" s="7" t="e">
        <f>StepperPower($F$29,$G$29,$H$29,$J$29,$K$29,$L$29,$C$2,$N$29,$Q47)</f>
        <v>#VALUE!</v>
      </c>
      <c r="BB47" s="7" t="e">
        <f>StepperPower($F$30,$G$30,$H$30,$J$30,$K$30,$L$30,$C$2,$N$30,$Q47)</f>
        <v>#VALUE!</v>
      </c>
      <c r="BC47" s="7"/>
    </row>
    <row r="48" spans="3:55" x14ac:dyDescent="0.25">
      <c r="C48" s="1"/>
      <c r="E48" s="1"/>
      <c r="Q48">
        <f t="shared" si="3"/>
        <v>22.5</v>
      </c>
      <c r="R48">
        <f t="shared" si="6"/>
        <v>900</v>
      </c>
      <c r="T48" s="7" cm="1">
        <f t="array" aca="1" ref="T48" ca="1">(_xlfn.SINGLE(SingleCoilTorque($F$15,$G$15,IF($I$15="",$H$15,INDEX(INDIRECT(_xlfn.CONCAT($I$15,"[Torque]")),MATCH(MIN(ABS(INDIRECT(_xlfn.CONCAT($I$15,"[RPM]"))-$R48*60/2/$C$6)),ABS(INDIRECT(_xlfn.CONCAT($I$15,"[RPM]"))-$R48*60/2/$C$6),0))*100),$J$15,$K$15,$L$15,$C$2,$N$15,$Q48))-$O$15)*$C$8</f>
        <v>19.795722737833184</v>
      </c>
      <c r="U48" s="7" cm="1">
        <f t="array" aca="1" ref="U48" ca="1">(_xlfn.SINGLE(SingleCoilTorque($F$16,$G$16,IF($I$16="",$H$16,INDEX(INDIRECT(_xlfn.CONCAT($I$16,"[Torque]")),MATCH(MIN(ABS(INDIRECT(_xlfn.CONCAT($I$16,"[RPM]"))-$R48*60/2/$C$6)),ABS(INDIRECT(_xlfn.CONCAT($I$16,"[RPM]"))-$R48*60/2/$C$6),0))*100),$J$16,$K$16,$L$16,$C$2,$N$16,$Q48))-$O$16)*$C$8</f>
        <v>33.385027867703826</v>
      </c>
      <c r="V48" s="7" cm="1">
        <f t="array" aca="1" ref="V48" ca="1">(_xlfn.SINGLE(SingleCoilTorque($F$17,$G$17,IF($I$17="",$H$17,INDEX(INDIRECT(_xlfn.CONCAT($I$17,"[Torque]")),MATCH(MIN(ABS(INDIRECT(_xlfn.CONCAT($I$17,"[RPM]"))-$R48*60/2/$C$6)),ABS(INDIRECT(_xlfn.CONCAT($I$17,"[RPM]"))-$R48*60/2/$C$6),0))*100),$J$17,$K$17,$L$17,$C$2,$N$17,$Q48))-$O$17)*$C$8</f>
        <v>16.212927962423489</v>
      </c>
      <c r="W48" s="7" t="e" cm="1">
        <f t="array" aca="1" ref="W48" ca="1">(_xlfn.SINGLE(SingleCoilTorque($F$18,$G$18,IF($I$18="",$H$18,INDEX(INDIRECT(_xlfn.CONCAT($I$18,"[Torque]")),MATCH(MIN(ABS(INDIRECT(_xlfn.CONCAT($I$18,"[RPM]"))-$R48*60/2/$C$6)),ABS(INDIRECT(_xlfn.CONCAT($I$18,"[RPM]"))-$R48*60/2/$C$6),0))*100),$J$18,$K$18,$L$18,$C$2,$N$18,$Q48))-$O$18)*$C$8</f>
        <v>#VALUE!</v>
      </c>
      <c r="X48" s="7" t="e" cm="1">
        <f t="array" aca="1" ref="X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Y48" s="7" t="e" cm="1">
        <f t="array" aca="1" ref="Y48" ca="1">(_xlfn.SINGLE(SingleCoilTorque($F$20,$G$20,IF($I$20="",$H$20,INDEX(INDIRECT(_xlfn.CONCAT($I$20,"[Torque]")),MATCH(MIN(ABS(INDIRECT(_xlfn.CONCAT($I$20,"[RPM]"))-$R48*60/2/$C$6)),ABS(INDIRECT(_xlfn.CONCAT($I$20,"[RPM]"))-$R48*60/2/$C$6),0))*100),$J$20,$K$20,$L$20,$C$2,$N$20,$Q48))-$O$20)*$C$8</f>
        <v>#VALUE!</v>
      </c>
      <c r="Z48" s="7" t="e" cm="1">
        <f t="array" aca="1" ref="Z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A48" s="7" t="e" cm="1">
        <f t="array" aca="1" ref="AA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B48" s="7" t="e" cm="1">
        <f t="array" aca="1" ref="AB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C48" s="7" t="e" cm="1">
        <f t="array" aca="1" ref="AC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D48" s="7" t="e" cm="1">
        <f t="array" aca="1" ref="AD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E48" s="7" t="e" cm="1">
        <f t="array" aca="1" ref="AE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F48" s="7" t="e" cm="1">
        <f t="array" aca="1" ref="AF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G48" s="7" t="e" cm="1">
        <f t="array" aca="1" ref="AG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H48" s="7" t="e" cm="1">
        <f t="array" aca="1" ref="AH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I48" s="7" t="e" cm="1">
        <f t="array" aca="1" ref="AI48" ca="1">(_xlfn.SINGLE(SingleCoilTorque($F$19,$G$19,IF($I$19="",$H$19,INDEX(INDIRECT(_xlfn.CONCAT($I$19,"[Torque]")),MATCH(MIN(ABS(INDIRECT(_xlfn.CONCAT($I$19,"[RPM]"))-$R48*60/2/$C$6)),ABS(INDIRECT(_xlfn.CONCAT($I$19,"[RPM]"))-$R48*60/2/$C$6),0))*100),$J$19,$K$19,$L$19,$C$2,$N$19,$Q48))-$O$19)*$C$8</f>
        <v>#VALUE!</v>
      </c>
      <c r="AJ48" s="7">
        <f t="shared" si="7"/>
        <v>23.8732414637843</v>
      </c>
      <c r="AL48">
        <f t="shared" si="2"/>
        <v>900</v>
      </c>
      <c r="AM48" s="7">
        <f>StepperPower($F$15,$G$15,$H$15,$J$15,$K$15,$L$15,$C$2,$N$15,$Q48)</f>
        <v>49.22379937862874</v>
      </c>
      <c r="AN48" s="7">
        <f>StepperPower($F$16,$G$16,$H$16,$J$16,$K$16,$L$16,$C$2,$N$16,$Q48)</f>
        <v>50.655935482604022</v>
      </c>
      <c r="AO48" s="7">
        <f>StepperPower($F$17,$G$17,$H$17,$J$17,$K$17,$L$17,$C$2,$N$17,$Q48)</f>
        <v>29.30185065319581</v>
      </c>
      <c r="AP48" s="7" t="e">
        <f>StepperPower($F$18,$G$18,$H$18,$J$18,$K$18,$L$18,$C$2,$N$18,$Q48)</f>
        <v>#VALUE!</v>
      </c>
      <c r="AQ48" s="7" t="e">
        <f>StepperPower($F$19,$G$19,$H$19,$J$19,$K$19,$L$19,$C$2,$N$19,$Q48)</f>
        <v>#VALUE!</v>
      </c>
      <c r="AR48" s="7" t="e">
        <f>StepperPower($F$20,$G$20,$H$20,$J$20,$K$20,$L$20,$C$2,$N$20,$Q48)</f>
        <v>#VALUE!</v>
      </c>
      <c r="AS48" s="7" t="e">
        <f>StepperPower($F$21,$G$21,$H$21,$J$21,$K$21,$L$21,$C$2,$N$21,$Q48)</f>
        <v>#VALUE!</v>
      </c>
      <c r="AT48" s="7" t="e">
        <f>StepperPower($F$22,$G$22,$H$22,$J$22,$K$22,$L$22,$C$2,$N$22,$Q48)</f>
        <v>#VALUE!</v>
      </c>
      <c r="AU48" s="7" t="e">
        <f>StepperPower($F$23,$G$23,$H$23,$J$23,$K$23,$L$23,$C$2,$N$23,$Q48)</f>
        <v>#VALUE!</v>
      </c>
      <c r="AV48" s="7" t="e">
        <f>StepperPower($F$24,$G$24,$H$24,$J$24,$K$24,$L$24,$C$2,$N$24,$Q48)</f>
        <v>#VALUE!</v>
      </c>
      <c r="AW48" s="7" t="e">
        <f>StepperPower($F$25,$G$25,$H$25,$J$25,$K$25,$L$25,$C$2,$N$25,$Q48)</f>
        <v>#VALUE!</v>
      </c>
      <c r="AX48" s="7" t="e">
        <f>StepperPower($F$26,$G$26,$H$26,$J$26,$K$26,$L$26,$C$2,$N$26,$Q48)</f>
        <v>#VALUE!</v>
      </c>
      <c r="AY48" s="7" t="e">
        <f>StepperPower($F$27,$G$27,$H$27,$J$27,$K$27,$L$27,$C$2,$N$27,$Q48)</f>
        <v>#VALUE!</v>
      </c>
      <c r="AZ48" s="7" t="e">
        <f>StepperPower($F$28,$G$28,$H$28,$J$28,$K$28,$L$28,$C$2,$N$28,$Q48)</f>
        <v>#VALUE!</v>
      </c>
      <c r="BA48" s="7" t="e">
        <f>StepperPower($F$29,$G$29,$H$29,$J$29,$K$29,$L$29,$C$2,$N$29,$Q48)</f>
        <v>#VALUE!</v>
      </c>
      <c r="BB48" s="7" t="e">
        <f>StepperPower($F$30,$G$30,$H$30,$J$30,$K$30,$L$30,$C$2,$N$30,$Q48)</f>
        <v>#VALUE!</v>
      </c>
      <c r="BC48" s="7"/>
    </row>
    <row r="49" spans="3:55" x14ac:dyDescent="0.25">
      <c r="C49" s="1"/>
      <c r="E49" s="1"/>
      <c r="Q49">
        <f t="shared" si="3"/>
        <v>23</v>
      </c>
      <c r="R49">
        <f t="shared" si="6"/>
        <v>920</v>
      </c>
      <c r="T49" s="7" cm="1">
        <f t="array" aca="1" ref="T49" ca="1">(_xlfn.SINGLE(SingleCoilTorque($F$15,$G$15,IF($I$15="",$H$15,INDEX(INDIRECT(_xlfn.CONCAT($I$15,"[Torque]")),MATCH(MIN(ABS(INDIRECT(_xlfn.CONCAT($I$15,"[RPM]"))-$R49*60/2/$C$6)),ABS(INDIRECT(_xlfn.CONCAT($I$15,"[RPM]"))-$R49*60/2/$C$6),0))*100),$J$15,$K$15,$L$15,$C$2,$N$15,$Q49))-$O$15)*$C$8</f>
        <v>19.795722737833184</v>
      </c>
      <c r="U49" s="7" cm="1">
        <f t="array" aca="1" ref="U49" ca="1">(_xlfn.SINGLE(SingleCoilTorque($F$16,$G$16,IF($I$16="",$H$16,INDEX(INDIRECT(_xlfn.CONCAT($I$16,"[Torque]")),MATCH(MIN(ABS(INDIRECT(_xlfn.CONCAT($I$16,"[RPM]"))-$R49*60/2/$C$6)),ABS(INDIRECT(_xlfn.CONCAT($I$16,"[RPM]"))-$R49*60/2/$C$6),0))*100),$J$16,$K$16,$L$16,$C$2,$N$16,$Q49))-$O$16)*$C$8</f>
        <v>30.556173553701001</v>
      </c>
      <c r="V49" s="7" cm="1">
        <f t="array" aca="1" ref="V49" ca="1">(_xlfn.SINGLE(SingleCoilTorque($F$17,$G$17,IF($I$17="",$H$17,INDEX(INDIRECT(_xlfn.CONCAT($I$17,"[Torque]")),MATCH(MIN(ABS(INDIRECT(_xlfn.CONCAT($I$17,"[RPM]"))-$R49*60/2/$C$6)),ABS(INDIRECT(_xlfn.CONCAT($I$17,"[RPM]"))-$R49*60/2/$C$6),0))*100),$J$17,$K$17,$L$17,$C$2,$N$17,$Q49))-$O$17)*$C$8</f>
        <v>14.78919869740389</v>
      </c>
      <c r="W49" s="7" t="e" cm="1">
        <f t="array" aca="1" ref="W49" ca="1">(_xlfn.SINGLE(SingleCoilTorque($F$18,$G$18,IF($I$18="",$H$18,INDEX(INDIRECT(_xlfn.CONCAT($I$18,"[Torque]")),MATCH(MIN(ABS(INDIRECT(_xlfn.CONCAT($I$18,"[RPM]"))-$R49*60/2/$C$6)),ABS(INDIRECT(_xlfn.CONCAT($I$18,"[RPM]"))-$R49*60/2/$C$6),0))*100),$J$18,$K$18,$L$18,$C$2,$N$18,$Q49))-$O$18)*$C$8</f>
        <v>#VALUE!</v>
      </c>
      <c r="X49" s="7" t="e" cm="1">
        <f t="array" aca="1" ref="X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Y49" s="7" t="e" cm="1">
        <f t="array" aca="1" ref="Y49" ca="1">(_xlfn.SINGLE(SingleCoilTorque($F$20,$G$20,IF($I$20="",$H$20,INDEX(INDIRECT(_xlfn.CONCAT($I$20,"[Torque]")),MATCH(MIN(ABS(INDIRECT(_xlfn.CONCAT($I$20,"[RPM]"))-$R49*60/2/$C$6)),ABS(INDIRECT(_xlfn.CONCAT($I$20,"[RPM]"))-$R49*60/2/$C$6),0))*100),$J$20,$K$20,$L$20,$C$2,$N$20,$Q49))-$O$20)*$C$8</f>
        <v>#VALUE!</v>
      </c>
      <c r="Z49" s="7" t="e" cm="1">
        <f t="array" aca="1" ref="Z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A49" s="7" t="e" cm="1">
        <f t="array" aca="1" ref="AA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B49" s="7" t="e" cm="1">
        <f t="array" aca="1" ref="AB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C49" s="7" t="e" cm="1">
        <f t="array" aca="1" ref="AC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D49" s="7" t="e" cm="1">
        <f t="array" aca="1" ref="AD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E49" s="7" t="e" cm="1">
        <f t="array" aca="1" ref="AE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F49" s="7" t="e" cm="1">
        <f t="array" aca="1" ref="AF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G49" s="7" t="e" cm="1">
        <f t="array" aca="1" ref="AG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H49" s="7" t="e" cm="1">
        <f t="array" aca="1" ref="AH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I49" s="7" t="e" cm="1">
        <f t="array" aca="1" ref="AI49" ca="1">(_xlfn.SINGLE(SingleCoilTorque($F$19,$G$19,IF($I$19="",$H$19,INDEX(INDIRECT(_xlfn.CONCAT($I$19,"[Torque]")),MATCH(MIN(ABS(INDIRECT(_xlfn.CONCAT($I$19,"[RPM]"))-$R49*60/2/$C$6)),ABS(INDIRECT(_xlfn.CONCAT($I$19,"[RPM]"))-$R49*60/2/$C$6),0))*100),$J$19,$K$19,$L$19,$C$2,$N$19,$Q49))-$O$19)*$C$8</f>
        <v>#VALUE!</v>
      </c>
      <c r="AJ49" s="7">
        <f t="shared" si="7"/>
        <v>23.8732414637843</v>
      </c>
      <c r="AL49">
        <f t="shared" si="2"/>
        <v>920</v>
      </c>
      <c r="AM49" s="7">
        <f>StepperPower($F$15,$G$15,$H$15,$J$15,$K$15,$L$15,$C$2,$N$15,$Q49)</f>
        <v>47.743013840059319</v>
      </c>
      <c r="AN49" s="7">
        <f>StepperPower($F$16,$G$16,$H$16,$J$16,$K$16,$L$16,$C$2,$N$16,$Q49)</f>
        <v>49.396417089146752</v>
      </c>
      <c r="AO49" s="7">
        <f>StepperPower($F$17,$G$17,$H$17,$J$17,$K$17,$L$17,$C$2,$N$17,$Q49)</f>
        <v>27.970252258761306</v>
      </c>
      <c r="AP49" s="7" t="e">
        <f>StepperPower($F$18,$G$18,$H$18,$J$18,$K$18,$L$18,$C$2,$N$18,$Q49)</f>
        <v>#VALUE!</v>
      </c>
      <c r="AQ49" s="7" t="e">
        <f>StepperPower($F$19,$G$19,$H$19,$J$19,$K$19,$L$19,$C$2,$N$19,$Q49)</f>
        <v>#VALUE!</v>
      </c>
      <c r="AR49" s="7" t="e">
        <f>StepperPower($F$20,$G$20,$H$20,$J$20,$K$20,$L$20,$C$2,$N$20,$Q49)</f>
        <v>#VALUE!</v>
      </c>
      <c r="AS49" s="7" t="e">
        <f>StepperPower($F$21,$G$21,$H$21,$J$21,$K$21,$L$21,$C$2,$N$21,$Q49)</f>
        <v>#VALUE!</v>
      </c>
      <c r="AT49" s="7" t="e">
        <f>StepperPower($F$22,$G$22,$H$22,$J$22,$K$22,$L$22,$C$2,$N$22,$Q49)</f>
        <v>#VALUE!</v>
      </c>
      <c r="AU49" s="7" t="e">
        <f>StepperPower($F$23,$G$23,$H$23,$J$23,$K$23,$L$23,$C$2,$N$23,$Q49)</f>
        <v>#VALUE!</v>
      </c>
      <c r="AV49" s="7" t="e">
        <f>StepperPower($F$24,$G$24,$H$24,$J$24,$K$24,$L$24,$C$2,$N$24,$Q49)</f>
        <v>#VALUE!</v>
      </c>
      <c r="AW49" s="7" t="e">
        <f>StepperPower($F$25,$G$25,$H$25,$J$25,$K$25,$L$25,$C$2,$N$25,$Q49)</f>
        <v>#VALUE!</v>
      </c>
      <c r="AX49" s="7" t="e">
        <f>StepperPower($F$26,$G$26,$H$26,$J$26,$K$26,$L$26,$C$2,$N$26,$Q49)</f>
        <v>#VALUE!</v>
      </c>
      <c r="AY49" s="7" t="e">
        <f>StepperPower($F$27,$G$27,$H$27,$J$27,$K$27,$L$27,$C$2,$N$27,$Q49)</f>
        <v>#VALUE!</v>
      </c>
      <c r="AZ49" s="7" t="e">
        <f>StepperPower($F$28,$G$28,$H$28,$J$28,$K$28,$L$28,$C$2,$N$28,$Q49)</f>
        <v>#VALUE!</v>
      </c>
      <c r="BA49" s="7" t="e">
        <f>StepperPower($F$29,$G$29,$H$29,$J$29,$K$29,$L$29,$C$2,$N$29,$Q49)</f>
        <v>#VALUE!</v>
      </c>
      <c r="BB49" s="7" t="e">
        <f>StepperPower($F$30,$G$30,$H$30,$J$30,$K$30,$L$30,$C$2,$N$30,$Q49)</f>
        <v>#VALUE!</v>
      </c>
      <c r="BC49" s="7"/>
    </row>
    <row r="50" spans="3:55" x14ac:dyDescent="0.25">
      <c r="C50" s="1"/>
      <c r="Q50">
        <f t="shared" si="3"/>
        <v>23.5</v>
      </c>
      <c r="R50">
        <f t="shared" si="6"/>
        <v>940</v>
      </c>
      <c r="T50" s="7" cm="1">
        <f t="array" aca="1" ref="T50" ca="1">(_xlfn.SINGLE(SingleCoilTorque($F$15,$G$15,IF($I$15="",$H$15,INDEX(INDIRECT(_xlfn.CONCAT($I$15,"[Torque]")),MATCH(MIN(ABS(INDIRECT(_xlfn.CONCAT($I$15,"[RPM]"))-$R50*60/2/$C$6)),ABS(INDIRECT(_xlfn.CONCAT($I$15,"[RPM]"))-$R50*60/2/$C$6),0))*100),$J$15,$K$15,$L$15,$C$2,$N$15,$Q50))-$O$15)*$C$8</f>
        <v>19.466622874468655</v>
      </c>
      <c r="U50" s="7" cm="1">
        <f t="array" aca="1" ref="U50" ca="1">(_xlfn.SINGLE(SingleCoilTorque($F$16,$G$16,IF($I$16="",$H$16,INDEX(INDIRECT(_xlfn.CONCAT($I$16,"[Torque]")),MATCH(MIN(ABS(INDIRECT(_xlfn.CONCAT($I$16,"[RPM]"))-$R50*60/2/$C$6)),ABS(INDIRECT(_xlfn.CONCAT($I$16,"[RPM]"))-$R50*60/2/$C$6),0))*100),$J$16,$K$16,$L$16,$C$2,$N$16,$Q50))-$O$16)*$C$8</f>
        <v>30.556173553701001</v>
      </c>
      <c r="V50" s="7" cm="1">
        <f t="array" aca="1" ref="V50" ca="1">(_xlfn.SINGLE(SingleCoilTorque($F$17,$G$17,IF($I$17="",$H$17,INDEX(INDIRECT(_xlfn.CONCAT($I$17,"[Torque]")),MATCH(MIN(ABS(INDIRECT(_xlfn.CONCAT($I$17,"[RPM]"))-$R50*60/2/$C$6)),ABS(INDIRECT(_xlfn.CONCAT($I$17,"[RPM]"))-$R50*60/2/$C$6),0))*100),$J$17,$K$17,$L$17,$C$2,$N$17,$Q50))-$O$17)*$C$8</f>
        <v>13.964537994110067</v>
      </c>
      <c r="W50" s="7" t="e" cm="1">
        <f t="array" aca="1" ref="W50" ca="1">(_xlfn.SINGLE(SingleCoilTorque($F$18,$G$18,IF($I$18="",$H$18,INDEX(INDIRECT(_xlfn.CONCAT($I$18,"[Torque]")),MATCH(MIN(ABS(INDIRECT(_xlfn.CONCAT($I$18,"[RPM]"))-$R50*60/2/$C$6)),ABS(INDIRECT(_xlfn.CONCAT($I$18,"[RPM]"))-$R50*60/2/$C$6),0))*100),$J$18,$K$18,$L$18,$C$2,$N$18,$Q50))-$O$18)*$C$8</f>
        <v>#VALUE!</v>
      </c>
      <c r="X50" s="7" t="e" cm="1">
        <f t="array" aca="1" ref="X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Y50" s="7" t="e" cm="1">
        <f t="array" aca="1" ref="Y50" ca="1">(_xlfn.SINGLE(SingleCoilTorque($F$20,$G$20,IF($I$20="",$H$20,INDEX(INDIRECT(_xlfn.CONCAT($I$20,"[Torque]")),MATCH(MIN(ABS(INDIRECT(_xlfn.CONCAT($I$20,"[RPM]"))-$R50*60/2/$C$6)),ABS(INDIRECT(_xlfn.CONCAT($I$20,"[RPM]"))-$R50*60/2/$C$6),0))*100),$J$20,$K$20,$L$20,$C$2,$N$20,$Q50))-$O$20)*$C$8</f>
        <v>#VALUE!</v>
      </c>
      <c r="Z50" s="7" t="e" cm="1">
        <f t="array" aca="1" ref="Z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A50" s="7" t="e" cm="1">
        <f t="array" aca="1" ref="AA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B50" s="7" t="e" cm="1">
        <f t="array" aca="1" ref="AB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C50" s="7" t="e" cm="1">
        <f t="array" aca="1" ref="AC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D50" s="7" t="e" cm="1">
        <f t="array" aca="1" ref="AD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E50" s="7" t="e" cm="1">
        <f t="array" aca="1" ref="AE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F50" s="7" t="e" cm="1">
        <f t="array" aca="1" ref="AF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G50" s="7" t="e" cm="1">
        <f t="array" aca="1" ref="AG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H50" s="7" t="e" cm="1">
        <f t="array" aca="1" ref="AH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I50" s="7" t="e" cm="1">
        <f t="array" aca="1" ref="AI50" ca="1">(_xlfn.SINGLE(SingleCoilTorque($F$19,$G$19,IF($I$19="",$H$19,INDEX(INDIRECT(_xlfn.CONCAT($I$19,"[Torque]")),MATCH(MIN(ABS(INDIRECT(_xlfn.CONCAT($I$19,"[RPM]"))-$R50*60/2/$C$6)),ABS(INDIRECT(_xlfn.CONCAT($I$19,"[RPM]"))-$R50*60/2/$C$6),0))*100),$J$19,$K$19,$L$19,$C$2,$N$19,$Q50))-$O$19)*$C$8</f>
        <v>#VALUE!</v>
      </c>
      <c r="AJ50" s="7">
        <f t="shared" si="7"/>
        <v>23.8732414637843</v>
      </c>
      <c r="AL50">
        <f t="shared" si="2"/>
        <v>940</v>
      </c>
      <c r="AM50" s="7">
        <f>StepperPower($F$15,$G$15,$H$15,$J$15,$K$15,$L$15,$C$2,$N$15,$Q50)</f>
        <v>46.278151159427843</v>
      </c>
      <c r="AN50" s="7">
        <f>StepperPower($F$16,$G$16,$H$16,$J$16,$K$16,$L$16,$C$2,$N$16,$Q50)</f>
        <v>48.15348849913125</v>
      </c>
      <c r="AO50" s="7">
        <f>StepperPower($F$17,$G$17,$H$17,$J$17,$K$17,$L$17,$C$2,$N$17,$Q50)</f>
        <v>26.644411417108049</v>
      </c>
      <c r="AP50" s="7" t="e">
        <f>StepperPower($F$18,$G$18,$H$18,$J$18,$K$18,$L$18,$C$2,$N$18,$Q50)</f>
        <v>#VALUE!</v>
      </c>
      <c r="AQ50" s="7" t="e">
        <f>StepperPower($F$19,$G$19,$H$19,$J$19,$K$19,$L$19,$C$2,$N$19,$Q50)</f>
        <v>#VALUE!</v>
      </c>
      <c r="AR50" s="7" t="e">
        <f>StepperPower($F$20,$G$20,$H$20,$J$20,$K$20,$L$20,$C$2,$N$20,$Q50)</f>
        <v>#VALUE!</v>
      </c>
      <c r="AS50" s="7" t="e">
        <f>StepperPower($F$21,$G$21,$H$21,$J$21,$K$21,$L$21,$C$2,$N$21,$Q50)</f>
        <v>#VALUE!</v>
      </c>
      <c r="AT50" s="7" t="e">
        <f>StepperPower($F$22,$G$22,$H$22,$J$22,$K$22,$L$22,$C$2,$N$22,$Q50)</f>
        <v>#VALUE!</v>
      </c>
      <c r="AU50" s="7" t="e">
        <f>StepperPower($F$23,$G$23,$H$23,$J$23,$K$23,$L$23,$C$2,$N$23,$Q50)</f>
        <v>#VALUE!</v>
      </c>
      <c r="AV50" s="7" t="e">
        <f>StepperPower($F$24,$G$24,$H$24,$J$24,$K$24,$L$24,$C$2,$N$24,$Q50)</f>
        <v>#VALUE!</v>
      </c>
      <c r="AW50" s="7" t="e">
        <f>StepperPower($F$25,$G$25,$H$25,$J$25,$K$25,$L$25,$C$2,$N$25,$Q50)</f>
        <v>#VALUE!</v>
      </c>
      <c r="AX50" s="7" t="e">
        <f>StepperPower($F$26,$G$26,$H$26,$J$26,$K$26,$L$26,$C$2,$N$26,$Q50)</f>
        <v>#VALUE!</v>
      </c>
      <c r="AY50" s="7" t="e">
        <f>StepperPower($F$27,$G$27,$H$27,$J$27,$K$27,$L$27,$C$2,$N$27,$Q50)</f>
        <v>#VALUE!</v>
      </c>
      <c r="AZ50" s="7" t="e">
        <f>StepperPower($F$28,$G$28,$H$28,$J$28,$K$28,$L$28,$C$2,$N$28,$Q50)</f>
        <v>#VALUE!</v>
      </c>
      <c r="BA50" s="7" t="e">
        <f>StepperPower($F$29,$G$29,$H$29,$J$29,$K$29,$L$29,$C$2,$N$29,$Q50)</f>
        <v>#VALUE!</v>
      </c>
      <c r="BB50" s="7" t="e">
        <f>StepperPower($F$30,$G$30,$H$30,$J$30,$K$30,$L$30,$C$2,$N$30,$Q50)</f>
        <v>#VALUE!</v>
      </c>
      <c r="BC50" s="7"/>
    </row>
    <row r="51" spans="3:55" x14ac:dyDescent="0.25">
      <c r="C51" s="1"/>
      <c r="Q51">
        <f t="shared" si="3"/>
        <v>24</v>
      </c>
      <c r="R51">
        <f t="shared" si="6"/>
        <v>960</v>
      </c>
      <c r="T51" s="7" cm="1">
        <f t="array" aca="1" ref="T51" ca="1">(_xlfn.SINGLE(SingleCoilTorque($F$15,$G$15,IF($I$15="",$H$15,INDEX(INDIRECT(_xlfn.CONCAT($I$15,"[Torque]")),MATCH(MIN(ABS(INDIRECT(_xlfn.CONCAT($I$15,"[RPM]"))-$R51*60/2/$C$6)),ABS(INDIRECT(_xlfn.CONCAT($I$15,"[RPM]"))-$R51*60/2/$C$6),0))*100),$J$15,$K$15,$L$15,$C$2,$N$15,$Q51))-$O$15)*$C$8</f>
        <v>18.675453543580915</v>
      </c>
      <c r="U51" s="7" cm="1">
        <f t="array" aca="1" ref="U51" ca="1">(_xlfn.SINGLE(SingleCoilTorque($F$16,$G$16,IF($I$16="",$H$16,INDEX(INDIRECT(_xlfn.CONCAT($I$16,"[Torque]")),MATCH(MIN(ABS(INDIRECT(_xlfn.CONCAT($I$16,"[RPM]"))-$R51*60/2/$C$6)),ABS(INDIRECT(_xlfn.CONCAT($I$16,"[RPM]"))-$R51*60/2/$C$6),0))*100),$J$16,$K$16,$L$16,$C$2,$N$16,$Q51))-$O$16)*$C$8</f>
        <v>30.556173553701001</v>
      </c>
      <c r="V51" s="7" cm="1">
        <f t="array" aca="1" ref="V51" ca="1">(_xlfn.SINGLE(SingleCoilTorque($F$17,$G$17,IF($I$17="",$H$17,INDEX(INDIRECT(_xlfn.CONCAT($I$17,"[Torque]")),MATCH(MIN(ABS(INDIRECT(_xlfn.CONCAT($I$17,"[RPM]"))-$R51*60/2/$C$6)),ABS(INDIRECT(_xlfn.CONCAT($I$17,"[RPM]"))-$R51*60/2/$C$6),0))*100),$J$17,$K$17,$L$17,$C$2,$N$17,$Q51))-$O$17)*$C$8</f>
        <v>13.172438688113932</v>
      </c>
      <c r="W51" s="7" t="e" cm="1">
        <f t="array" aca="1" ref="W51" ca="1">(_xlfn.SINGLE(SingleCoilTorque($F$18,$G$18,IF($I$18="",$H$18,INDEX(INDIRECT(_xlfn.CONCAT($I$18,"[Torque]")),MATCH(MIN(ABS(INDIRECT(_xlfn.CONCAT($I$18,"[RPM]"))-$R51*60/2/$C$6)),ABS(INDIRECT(_xlfn.CONCAT($I$18,"[RPM]"))-$R51*60/2/$C$6),0))*100),$J$18,$K$18,$L$18,$C$2,$N$18,$Q51))-$O$18)*$C$8</f>
        <v>#VALUE!</v>
      </c>
      <c r="X51" s="7" t="e" cm="1">
        <f t="array" aca="1" ref="X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Y51" s="7" t="e" cm="1">
        <f t="array" aca="1" ref="Y51" ca="1">(_xlfn.SINGLE(SingleCoilTorque($F$20,$G$20,IF($I$20="",$H$20,INDEX(INDIRECT(_xlfn.CONCAT($I$20,"[Torque]")),MATCH(MIN(ABS(INDIRECT(_xlfn.CONCAT($I$20,"[RPM]"))-$R51*60/2/$C$6)),ABS(INDIRECT(_xlfn.CONCAT($I$20,"[RPM]"))-$R51*60/2/$C$6),0))*100),$J$20,$K$20,$L$20,$C$2,$N$20,$Q51))-$O$20)*$C$8</f>
        <v>#VALUE!</v>
      </c>
      <c r="Z51" s="7" t="e" cm="1">
        <f t="array" aca="1" ref="Z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A51" s="7" t="e" cm="1">
        <f t="array" aca="1" ref="AA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B51" s="7" t="e" cm="1">
        <f t="array" aca="1" ref="AB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C51" s="7" t="e" cm="1">
        <f t="array" aca="1" ref="AC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D51" s="7" t="e" cm="1">
        <f t="array" aca="1" ref="AD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E51" s="7" t="e" cm="1">
        <f t="array" aca="1" ref="AE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F51" s="7" t="e" cm="1">
        <f t="array" aca="1" ref="AF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G51" s="7" t="e" cm="1">
        <f t="array" aca="1" ref="AG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H51" s="7" t="e" cm="1">
        <f t="array" aca="1" ref="AH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I51" s="7" t="e" cm="1">
        <f t="array" aca="1" ref="AI51" ca="1">(_xlfn.SINGLE(SingleCoilTorque($F$19,$G$19,IF($I$19="",$H$19,INDEX(INDIRECT(_xlfn.CONCAT($I$19,"[Torque]")),MATCH(MIN(ABS(INDIRECT(_xlfn.CONCAT($I$19,"[RPM]"))-$R51*60/2/$C$6)),ABS(INDIRECT(_xlfn.CONCAT($I$19,"[RPM]"))-$R51*60/2/$C$6),0))*100),$J$19,$K$19,$L$19,$C$2,$N$19,$Q51))-$O$19)*$C$8</f>
        <v>#VALUE!</v>
      </c>
      <c r="AJ51" s="7">
        <f t="shared" si="7"/>
        <v>23.8732414637843</v>
      </c>
      <c r="AL51">
        <f t="shared" si="2"/>
        <v>960</v>
      </c>
      <c r="AM51" s="7">
        <f>StepperPower($F$15,$G$15,$H$15,$J$15,$K$15,$L$15,$C$2,$N$15,$Q51)</f>
        <v>44.827577877017944</v>
      </c>
      <c r="AN51" s="7">
        <f>StepperPower($F$16,$G$16,$H$16,$J$16,$K$16,$L$16,$C$2,$N$16,$Q51)</f>
        <v>46.925527854139446</v>
      </c>
      <c r="AO51" s="7">
        <f>StepperPower($F$17,$G$17,$H$17,$J$17,$K$17,$L$17,$C$2,$N$17,$Q51)</f>
        <v>25.323631388858111</v>
      </c>
      <c r="AP51" s="7" t="e">
        <f>StepperPower($F$18,$G$18,$H$18,$J$18,$K$18,$L$18,$C$2,$N$18,$Q51)</f>
        <v>#VALUE!</v>
      </c>
      <c r="AQ51" s="7" t="e">
        <f>StepperPower($F$19,$G$19,$H$19,$J$19,$K$19,$L$19,$C$2,$N$19,$Q51)</f>
        <v>#VALUE!</v>
      </c>
      <c r="AR51" s="7" t="e">
        <f>StepperPower($F$20,$G$20,$H$20,$J$20,$K$20,$L$20,$C$2,$N$20,$Q51)</f>
        <v>#VALUE!</v>
      </c>
      <c r="AS51" s="7" t="e">
        <f>StepperPower($F$21,$G$21,$H$21,$J$21,$K$21,$L$21,$C$2,$N$21,$Q51)</f>
        <v>#VALUE!</v>
      </c>
      <c r="AT51" s="7" t="e">
        <f>StepperPower($F$22,$G$22,$H$22,$J$22,$K$22,$L$22,$C$2,$N$22,$Q51)</f>
        <v>#VALUE!</v>
      </c>
      <c r="AU51" s="7" t="e">
        <f>StepperPower($F$23,$G$23,$H$23,$J$23,$K$23,$L$23,$C$2,$N$23,$Q51)</f>
        <v>#VALUE!</v>
      </c>
      <c r="AV51" s="7" t="e">
        <f>StepperPower($F$24,$G$24,$H$24,$J$24,$K$24,$L$24,$C$2,$N$24,$Q51)</f>
        <v>#VALUE!</v>
      </c>
      <c r="AW51" s="7" t="e">
        <f>StepperPower($F$25,$G$25,$H$25,$J$25,$K$25,$L$25,$C$2,$N$25,$Q51)</f>
        <v>#VALUE!</v>
      </c>
      <c r="AX51" s="7" t="e">
        <f>StepperPower($F$26,$G$26,$H$26,$J$26,$K$26,$L$26,$C$2,$N$26,$Q51)</f>
        <v>#VALUE!</v>
      </c>
      <c r="AY51" s="7" t="e">
        <f>StepperPower($F$27,$G$27,$H$27,$J$27,$K$27,$L$27,$C$2,$N$27,$Q51)</f>
        <v>#VALUE!</v>
      </c>
      <c r="AZ51" s="7" t="e">
        <f>StepperPower($F$28,$G$28,$H$28,$J$28,$K$28,$L$28,$C$2,$N$28,$Q51)</f>
        <v>#VALUE!</v>
      </c>
      <c r="BA51" s="7" t="e">
        <f>StepperPower($F$29,$G$29,$H$29,$J$29,$K$29,$L$29,$C$2,$N$29,$Q51)</f>
        <v>#VALUE!</v>
      </c>
      <c r="BB51" s="7" t="e">
        <f>StepperPower($F$30,$G$30,$H$30,$J$30,$K$30,$L$30,$C$2,$N$30,$Q51)</f>
        <v>#VALUE!</v>
      </c>
      <c r="BC51" s="7"/>
    </row>
    <row r="52" spans="3:55" x14ac:dyDescent="0.25">
      <c r="C52" s="1"/>
      <c r="Q52">
        <f t="shared" si="3"/>
        <v>24.5</v>
      </c>
      <c r="R52">
        <f t="shared" si="6"/>
        <v>980</v>
      </c>
      <c r="T52" s="7" cm="1">
        <f t="array" aca="1" ref="T52" ca="1">(_xlfn.SINGLE(SingleCoilTorque($F$15,$G$15,IF($I$15="",$H$15,INDEX(INDIRECT(_xlfn.CONCAT($I$15,"[Torque]")),MATCH(MIN(ABS(INDIRECT(_xlfn.CONCAT($I$15,"[RPM]"))-$R52*60/2/$C$6)),ABS(INDIRECT(_xlfn.CONCAT($I$15,"[RPM]"))-$R52*60/2/$C$6),0))*100),$J$15,$K$15,$L$15,$C$2,$N$15,$Q52))-$O$15)*$C$8</f>
        <v>17.914151498461759</v>
      </c>
      <c r="U52" s="7" cm="1">
        <f t="array" aca="1" ref="U52" ca="1">(_xlfn.SINGLE(SingleCoilTorque($F$16,$G$16,IF($I$16="",$H$16,INDEX(INDIRECT(_xlfn.CONCAT($I$16,"[Torque]")),MATCH(MIN(ABS(INDIRECT(_xlfn.CONCAT($I$16,"[RPM]"))-$R52*60/2/$C$6)),ABS(INDIRECT(_xlfn.CONCAT($I$16,"[RPM]"))-$R52*60/2/$C$6),0))*100),$J$16,$K$16,$L$16,$C$2,$N$16,$Q52))-$O$16)*$C$8</f>
        <v>28.293090102498738</v>
      </c>
      <c r="V52" s="7" cm="1">
        <f t="array" aca="1" ref="V52" ca="1">(_xlfn.SINGLE(SingleCoilTorque($F$17,$G$17,IF($I$17="",$H$17,INDEX(INDIRECT(_xlfn.CONCAT($I$17,"[Torque]")),MATCH(MIN(ABS(INDIRECT(_xlfn.CONCAT($I$17,"[RPM]"))-$R52*60/2/$C$6)),ABS(INDIRECT(_xlfn.CONCAT($I$17,"[RPM]"))-$R52*60/2/$C$6),0))*100),$J$17,$K$17,$L$17,$C$2,$N$17,$Q52))-$O$17)*$C$8</f>
        <v>11.973444516014922</v>
      </c>
      <c r="W52" s="7" t="e" cm="1">
        <f t="array" aca="1" ref="W52" ca="1">(_xlfn.SINGLE(SingleCoilTorque($F$18,$G$18,IF($I$18="",$H$18,INDEX(INDIRECT(_xlfn.CONCAT($I$18,"[Torque]")),MATCH(MIN(ABS(INDIRECT(_xlfn.CONCAT($I$18,"[RPM]"))-$R52*60/2/$C$6)),ABS(INDIRECT(_xlfn.CONCAT($I$18,"[RPM]"))-$R52*60/2/$C$6),0))*100),$J$18,$K$18,$L$18,$C$2,$N$18,$Q52))-$O$18)*$C$8</f>
        <v>#VALUE!</v>
      </c>
      <c r="X52" s="7" t="e" cm="1">
        <f t="array" aca="1" ref="X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Y52" s="7" t="e" cm="1">
        <f t="array" aca="1" ref="Y52" ca="1">(_xlfn.SINGLE(SingleCoilTorque($F$20,$G$20,IF($I$20="",$H$20,INDEX(INDIRECT(_xlfn.CONCAT($I$20,"[Torque]")),MATCH(MIN(ABS(INDIRECT(_xlfn.CONCAT($I$20,"[RPM]"))-$R52*60/2/$C$6)),ABS(INDIRECT(_xlfn.CONCAT($I$20,"[RPM]"))-$R52*60/2/$C$6),0))*100),$J$20,$K$20,$L$20,$C$2,$N$20,$Q52))-$O$20)*$C$8</f>
        <v>#VALUE!</v>
      </c>
      <c r="Z52" s="7" t="e" cm="1">
        <f t="array" aca="1" ref="Z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A52" s="7" t="e" cm="1">
        <f t="array" aca="1" ref="AA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B52" s="7" t="e" cm="1">
        <f t="array" aca="1" ref="AB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C52" s="7" t="e" cm="1">
        <f t="array" aca="1" ref="AC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D52" s="7" t="e" cm="1">
        <f t="array" aca="1" ref="AD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E52" s="7" t="e" cm="1">
        <f t="array" aca="1" ref="AE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F52" s="7" t="e" cm="1">
        <f t="array" aca="1" ref="AF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G52" s="7" t="e" cm="1">
        <f t="array" aca="1" ref="AG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H52" s="7" t="e" cm="1">
        <f t="array" aca="1" ref="AH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I52" s="7" t="e" cm="1">
        <f t="array" aca="1" ref="AI52" ca="1">(_xlfn.SINGLE(SingleCoilTorque($F$19,$G$19,IF($I$19="",$H$19,INDEX(INDIRECT(_xlfn.CONCAT($I$19,"[Torque]")),MATCH(MIN(ABS(INDIRECT(_xlfn.CONCAT($I$19,"[RPM]"))-$R52*60/2/$C$6)),ABS(INDIRECT(_xlfn.CONCAT($I$19,"[RPM]"))-$R52*60/2/$C$6),0))*100),$J$19,$K$19,$L$19,$C$2,$N$19,$Q52))-$O$19)*$C$8</f>
        <v>#VALUE!</v>
      </c>
      <c r="AJ52" s="7">
        <f t="shared" si="7"/>
        <v>23.8732414637843</v>
      </c>
      <c r="AL52">
        <f t="shared" si="2"/>
        <v>980</v>
      </c>
      <c r="AM52" s="7">
        <f>StepperPower($F$15,$G$15,$H$15,$J$15,$K$15,$L$15,$C$2,$N$15,$Q52)</f>
        <v>43.389836786825711</v>
      </c>
      <c r="AN52" s="7">
        <f>StepperPower($F$16,$G$16,$H$16,$J$16,$K$16,$L$16,$C$2,$N$16,$Q52)</f>
        <v>45.71108570336996</v>
      </c>
      <c r="AO52" s="7">
        <f>StepperPower($F$17,$G$17,$H$17,$J$17,$K$17,$L$17,$C$2,$N$17,$Q52)</f>
        <v>24.007296405459936</v>
      </c>
      <c r="AP52" s="7" t="e">
        <f>StepperPower($F$18,$G$18,$H$18,$J$18,$K$18,$L$18,$C$2,$N$18,$Q52)</f>
        <v>#VALUE!</v>
      </c>
      <c r="AQ52" s="7" t="e">
        <f>StepperPower($F$19,$G$19,$H$19,$J$19,$K$19,$L$19,$C$2,$N$19,$Q52)</f>
        <v>#VALUE!</v>
      </c>
      <c r="AR52" s="7" t="e">
        <f>StepperPower($F$20,$G$20,$H$20,$J$20,$K$20,$L$20,$C$2,$N$20,$Q52)</f>
        <v>#VALUE!</v>
      </c>
      <c r="AS52" s="7" t="e">
        <f>StepperPower($F$21,$G$21,$H$21,$J$21,$K$21,$L$21,$C$2,$N$21,$Q52)</f>
        <v>#VALUE!</v>
      </c>
      <c r="AT52" s="7" t="e">
        <f>StepperPower($F$22,$G$22,$H$22,$J$22,$K$22,$L$22,$C$2,$N$22,$Q52)</f>
        <v>#VALUE!</v>
      </c>
      <c r="AU52" s="7" t="e">
        <f>StepperPower($F$23,$G$23,$H$23,$J$23,$K$23,$L$23,$C$2,$N$23,$Q52)</f>
        <v>#VALUE!</v>
      </c>
      <c r="AV52" s="7" t="e">
        <f>StepperPower($F$24,$G$24,$H$24,$J$24,$K$24,$L$24,$C$2,$N$24,$Q52)</f>
        <v>#VALUE!</v>
      </c>
      <c r="AW52" s="7" t="e">
        <f>StepperPower($F$25,$G$25,$H$25,$J$25,$K$25,$L$25,$C$2,$N$25,$Q52)</f>
        <v>#VALUE!</v>
      </c>
      <c r="AX52" s="7" t="e">
        <f>StepperPower($F$26,$G$26,$H$26,$J$26,$K$26,$L$26,$C$2,$N$26,$Q52)</f>
        <v>#VALUE!</v>
      </c>
      <c r="AY52" s="7" t="e">
        <f>StepperPower($F$27,$G$27,$H$27,$J$27,$K$27,$L$27,$C$2,$N$27,$Q52)</f>
        <v>#VALUE!</v>
      </c>
      <c r="AZ52" s="7" t="e">
        <f>StepperPower($F$28,$G$28,$H$28,$J$28,$K$28,$L$28,$C$2,$N$28,$Q52)</f>
        <v>#VALUE!</v>
      </c>
      <c r="BA52" s="7" t="e">
        <f>StepperPower($F$29,$G$29,$H$29,$J$29,$K$29,$L$29,$C$2,$N$29,$Q52)</f>
        <v>#VALUE!</v>
      </c>
      <c r="BB52" s="7" t="e">
        <f>StepperPower($F$30,$G$30,$H$30,$J$30,$K$30,$L$30,$C$2,$N$30,$Q52)</f>
        <v>#VALUE!</v>
      </c>
      <c r="BC52" s="7"/>
    </row>
    <row r="53" spans="3:55" x14ac:dyDescent="0.25">
      <c r="C53" s="1"/>
      <c r="Q53">
        <f t="shared" si="3"/>
        <v>25</v>
      </c>
      <c r="R53">
        <f t="shared" si="6"/>
        <v>1000</v>
      </c>
      <c r="T53" s="7" cm="1">
        <f t="array" aca="1" ref="T53" ca="1">(_xlfn.SINGLE(SingleCoilTorque($F$15,$G$15,IF($I$15="",$H$15,INDEX(INDIRECT(_xlfn.CONCAT($I$15,"[Torque]")),MATCH(MIN(ABS(INDIRECT(_xlfn.CONCAT($I$15,"[RPM]"))-$R53*60/2/$C$6)),ABS(INDIRECT(_xlfn.CONCAT($I$15,"[RPM]"))-$R53*60/2/$C$6),0))*100),$J$15,$K$15,$L$15,$C$2,$N$15,$Q53))-$O$15)*$C$8</f>
        <v>17.181056799646512</v>
      </c>
      <c r="U53" s="7" cm="1">
        <f t="array" aca="1" ref="U53" ca="1">(_xlfn.SINGLE(SingleCoilTorque($F$16,$G$16,IF($I$16="",$H$16,INDEX(INDIRECT(_xlfn.CONCAT($I$16,"[Torque]")),MATCH(MIN(ABS(INDIRECT(_xlfn.CONCAT($I$16,"[RPM]"))-$R53*60/2/$C$6)),ABS(INDIRECT(_xlfn.CONCAT($I$16,"[RPM]"))-$R53*60/2/$C$6),0))*100),$J$16,$K$16,$L$16,$C$2,$N$16,$Q53))-$O$16)*$C$8</f>
        <v>27.928947931949381</v>
      </c>
      <c r="V53" s="7" cm="1">
        <f t="array" aca="1" ref="V53" ca="1">(_xlfn.SINGLE(SingleCoilTorque($F$17,$G$17,IF($I$17="",$H$17,INDEX(INDIRECT(_xlfn.CONCAT($I$17,"[Torque]")),MATCH(MIN(ABS(INDIRECT(_xlfn.CONCAT($I$17,"[RPM]"))-$R53*60/2/$C$6)),ABS(INDIRECT(_xlfn.CONCAT($I$17,"[RPM]"))-$R53*60/2/$C$6),0))*100),$J$17,$K$17,$L$17,$C$2,$N$17,$Q53))-$O$17)*$C$8</f>
        <v>11.262825891163553</v>
      </c>
      <c r="W53" s="7" t="e" cm="1">
        <f t="array" aca="1" ref="W53" ca="1">(_xlfn.SINGLE(SingleCoilTorque($F$18,$G$18,IF($I$18="",$H$18,INDEX(INDIRECT(_xlfn.CONCAT($I$18,"[Torque]")),MATCH(MIN(ABS(INDIRECT(_xlfn.CONCAT($I$18,"[RPM]"))-$R53*60/2/$C$6)),ABS(INDIRECT(_xlfn.CONCAT($I$18,"[RPM]"))-$R53*60/2/$C$6),0))*100),$J$18,$K$18,$L$18,$C$2,$N$18,$Q53))-$O$18)*$C$8</f>
        <v>#VALUE!</v>
      </c>
      <c r="X53" s="7" t="e" cm="1">
        <f t="array" aca="1" ref="X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Y53" s="7" t="e" cm="1">
        <f t="array" aca="1" ref="Y53" ca="1">(_xlfn.SINGLE(SingleCoilTorque($F$20,$G$20,IF($I$20="",$H$20,INDEX(INDIRECT(_xlfn.CONCAT($I$20,"[Torque]")),MATCH(MIN(ABS(INDIRECT(_xlfn.CONCAT($I$20,"[RPM]"))-$R53*60/2/$C$6)),ABS(INDIRECT(_xlfn.CONCAT($I$20,"[RPM]"))-$R53*60/2/$C$6),0))*100),$J$20,$K$20,$L$20,$C$2,$N$20,$Q53))-$O$20)*$C$8</f>
        <v>#VALUE!</v>
      </c>
      <c r="Z53" s="7" t="e" cm="1">
        <f t="array" aca="1" ref="Z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A53" s="7" t="e" cm="1">
        <f t="array" aca="1" ref="AA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B53" s="7" t="e" cm="1">
        <f t="array" aca="1" ref="AB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C53" s="7" t="e" cm="1">
        <f t="array" aca="1" ref="AC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D53" s="7" t="e" cm="1">
        <f t="array" aca="1" ref="AD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E53" s="7" t="e" cm="1">
        <f t="array" aca="1" ref="AE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F53" s="7" t="e" cm="1">
        <f t="array" aca="1" ref="AF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G53" s="7" t="e" cm="1">
        <f t="array" aca="1" ref="AG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H53" s="7" t="e" cm="1">
        <f t="array" aca="1" ref="AH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I53" s="7" t="e" cm="1">
        <f t="array" aca="1" ref="AI53" ca="1">(_xlfn.SINGLE(SingleCoilTorque($F$19,$G$19,IF($I$19="",$H$19,INDEX(INDIRECT(_xlfn.CONCAT($I$19,"[Torque]")),MATCH(MIN(ABS(INDIRECT(_xlfn.CONCAT($I$19,"[RPM]"))-$R53*60/2/$C$6)),ABS(INDIRECT(_xlfn.CONCAT($I$19,"[RPM]"))-$R53*60/2/$C$6),0))*100),$J$19,$K$19,$L$19,$C$2,$N$19,$Q53))-$O$19)*$C$8</f>
        <v>#VALUE!</v>
      </c>
      <c r="AJ53" s="7">
        <f t="shared" si="7"/>
        <v>23.8732414637843</v>
      </c>
      <c r="AL53">
        <f t="shared" si="2"/>
        <v>1000</v>
      </c>
      <c r="AM53" s="7">
        <f>StepperPower($F$15,$G$15,$H$15,$J$15,$K$15,$L$15,$C$2,$N$15,$Q53)</f>
        <v>41.963625798883342</v>
      </c>
      <c r="AN53" s="7">
        <f>StepperPower($F$16,$G$16,$H$16,$J$16,$K$16,$L$16,$C$2,$N$16,$Q53)</f>
        <v>44.508864425425777</v>
      </c>
      <c r="AO53" s="7">
        <f>StepperPower($F$17,$G$17,$H$17,$J$17,$K$17,$L$17,$C$2,$N$17,$Q53)</f>
        <v>22.694861463357292</v>
      </c>
      <c r="AP53" s="7" t="e">
        <f>StepperPower($F$18,$G$18,$H$18,$J$18,$K$18,$L$18,$C$2,$N$18,$Q53)</f>
        <v>#VALUE!</v>
      </c>
      <c r="AQ53" s="7" t="e">
        <f>StepperPower($F$19,$G$19,$H$19,$J$19,$K$19,$L$19,$C$2,$N$19,$Q53)</f>
        <v>#VALUE!</v>
      </c>
      <c r="AR53" s="7" t="e">
        <f>StepperPower($F$20,$G$20,$H$20,$J$20,$K$20,$L$20,$C$2,$N$20,$Q53)</f>
        <v>#VALUE!</v>
      </c>
      <c r="AS53" s="7" t="e">
        <f>StepperPower($F$21,$G$21,$H$21,$J$21,$K$21,$L$21,$C$2,$N$21,$Q53)</f>
        <v>#VALUE!</v>
      </c>
      <c r="AT53" s="7" t="e">
        <f>StepperPower($F$22,$G$22,$H$22,$J$22,$K$22,$L$22,$C$2,$N$22,$Q53)</f>
        <v>#VALUE!</v>
      </c>
      <c r="AU53" s="7" t="e">
        <f>StepperPower($F$23,$G$23,$H$23,$J$23,$K$23,$L$23,$C$2,$N$23,$Q53)</f>
        <v>#VALUE!</v>
      </c>
      <c r="AV53" s="7" t="e">
        <f>StepperPower($F$24,$G$24,$H$24,$J$24,$K$24,$L$24,$C$2,$N$24,$Q53)</f>
        <v>#VALUE!</v>
      </c>
      <c r="AW53" s="7" t="e">
        <f>StepperPower($F$25,$G$25,$H$25,$J$25,$K$25,$L$25,$C$2,$N$25,$Q53)</f>
        <v>#VALUE!</v>
      </c>
      <c r="AX53" s="7" t="e">
        <f>StepperPower($F$26,$G$26,$H$26,$J$26,$K$26,$L$26,$C$2,$N$26,$Q53)</f>
        <v>#VALUE!</v>
      </c>
      <c r="AY53" s="7" t="e">
        <f>StepperPower($F$27,$G$27,$H$27,$J$27,$K$27,$L$27,$C$2,$N$27,$Q53)</f>
        <v>#VALUE!</v>
      </c>
      <c r="AZ53" s="7" t="e">
        <f>StepperPower($F$28,$G$28,$H$28,$J$28,$K$28,$L$28,$C$2,$N$28,$Q53)</f>
        <v>#VALUE!</v>
      </c>
      <c r="BA53" s="7" t="e">
        <f>StepperPower($F$29,$G$29,$H$29,$J$29,$K$29,$L$29,$C$2,$N$29,$Q53)</f>
        <v>#VALUE!</v>
      </c>
      <c r="BB53" s="7" t="e">
        <f>StepperPower($F$30,$G$30,$H$30,$J$30,$K$30,$L$30,$C$2,$N$30,$Q53)</f>
        <v>#VALUE!</v>
      </c>
      <c r="BC53" s="7"/>
    </row>
    <row r="54" spans="3:55" x14ac:dyDescent="0.25">
      <c r="C54" s="1"/>
      <c r="Q54">
        <f t="shared" si="3"/>
        <v>25.5</v>
      </c>
      <c r="R54">
        <f t="shared" si="6"/>
        <v>1020</v>
      </c>
      <c r="T54" s="7" cm="1">
        <f t="array" aca="1" ref="T54" ca="1">(_xlfn.SINGLE(SingleCoilTorque($F$15,$G$15,IF($I$15="",$H$15,INDEX(INDIRECT(_xlfn.CONCAT($I$15,"[Torque]")),MATCH(MIN(ABS(INDIRECT(_xlfn.CONCAT($I$15,"[RPM]"))-$R54*60/2/$C$6)),ABS(INDIRECT(_xlfn.CONCAT($I$15,"[RPM]"))-$R54*60/2/$C$6),0))*100),$J$15,$K$15,$L$15,$C$2,$N$15,$Q54))-$O$15)*$C$8</f>
        <v>16.47463027667234</v>
      </c>
      <c r="U54" s="7" cm="1">
        <f t="array" aca="1" ref="U54" ca="1">(_xlfn.SINGLE(SingleCoilTorque($F$16,$G$16,IF($I$16="",$H$16,INDEX(INDIRECT(_xlfn.CONCAT($I$16,"[Torque]")),MATCH(MIN(ABS(INDIRECT(_xlfn.CONCAT($I$16,"[RPM]"))-$R54*60/2/$C$6)),ABS(INDIRECT(_xlfn.CONCAT($I$16,"[RPM]"))-$R54*60/2/$C$6),0))*100),$J$16,$K$16,$L$16,$C$2,$N$16,$Q54))-$O$16)*$C$8</f>
        <v>26.93215588212621</v>
      </c>
      <c r="V54" s="7" cm="1">
        <f t="array" aca="1" ref="V54" ca="1">(_xlfn.SINGLE(SingleCoilTorque($F$17,$G$17,IF($I$17="",$H$17,INDEX(INDIRECT(_xlfn.CONCAT($I$17,"[Torque]")),MATCH(MIN(ABS(INDIRECT(_xlfn.CONCAT($I$17,"[RPM]"))-$R54*60/2/$C$6)),ABS(INDIRECT(_xlfn.CONCAT($I$17,"[RPM]"))-$R54*60/2/$C$6),0))*100),$J$17,$K$17,$L$17,$C$2,$N$17,$Q54))-$O$17)*$C$8</f>
        <v>10.578696861298084</v>
      </c>
      <c r="W54" s="7" t="e" cm="1">
        <f t="array" aca="1" ref="W54" ca="1">(_xlfn.SINGLE(SingleCoilTorque($F$18,$G$18,IF($I$18="",$H$18,INDEX(INDIRECT(_xlfn.CONCAT($I$18,"[Torque]")),MATCH(MIN(ABS(INDIRECT(_xlfn.CONCAT($I$18,"[RPM]"))-$R54*60/2/$C$6)),ABS(INDIRECT(_xlfn.CONCAT($I$18,"[RPM]"))-$R54*60/2/$C$6),0))*100),$J$18,$K$18,$L$18,$C$2,$N$18,$Q54))-$O$18)*$C$8</f>
        <v>#VALUE!</v>
      </c>
      <c r="X54" s="7" t="e" cm="1">
        <f t="array" aca="1" ref="X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Y54" s="7" t="e" cm="1">
        <f t="array" aca="1" ref="Y54" ca="1">(_xlfn.SINGLE(SingleCoilTorque($F$20,$G$20,IF($I$20="",$H$20,INDEX(INDIRECT(_xlfn.CONCAT($I$20,"[Torque]")),MATCH(MIN(ABS(INDIRECT(_xlfn.CONCAT($I$20,"[RPM]"))-$R54*60/2/$C$6)),ABS(INDIRECT(_xlfn.CONCAT($I$20,"[RPM]"))-$R54*60/2/$C$6),0))*100),$J$20,$K$20,$L$20,$C$2,$N$20,$Q54))-$O$20)*$C$8</f>
        <v>#VALUE!</v>
      </c>
      <c r="Z54" s="7" t="e" cm="1">
        <f t="array" aca="1" ref="Z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A54" s="7" t="e" cm="1">
        <f t="array" aca="1" ref="AA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B54" s="7" t="e" cm="1">
        <f t="array" aca="1" ref="AB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C54" s="7" t="e" cm="1">
        <f t="array" aca="1" ref="AC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D54" s="7" t="e" cm="1">
        <f t="array" aca="1" ref="AD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E54" s="7" t="e" cm="1">
        <f t="array" aca="1" ref="AE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F54" s="7" t="e" cm="1">
        <f t="array" aca="1" ref="AF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G54" s="7" t="e" cm="1">
        <f t="array" aca="1" ref="AG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H54" s="7" t="e" cm="1">
        <f t="array" aca="1" ref="AH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I54" s="7" t="e" cm="1">
        <f t="array" aca="1" ref="AI54" ca="1">(_xlfn.SINGLE(SingleCoilTorque($F$19,$G$19,IF($I$19="",$H$19,INDEX(INDIRECT(_xlfn.CONCAT($I$19,"[Torque]")),MATCH(MIN(ABS(INDIRECT(_xlfn.CONCAT($I$19,"[RPM]"))-$R54*60/2/$C$6)),ABS(INDIRECT(_xlfn.CONCAT($I$19,"[RPM]"))-$R54*60/2/$C$6),0))*100),$J$19,$K$19,$L$19,$C$2,$N$19,$Q54))-$O$19)*$C$8</f>
        <v>#VALUE!</v>
      </c>
      <c r="AJ54" s="7">
        <f t="shared" si="7"/>
        <v>23.8732414637843</v>
      </c>
      <c r="AL54">
        <f t="shared" si="2"/>
        <v>1020</v>
      </c>
      <c r="AM54" s="7">
        <f>StepperPower($F$15,$G$15,$H$15,$J$15,$K$15,$L$15,$C$2,$N$15,$Q54)</f>
        <v>40.547779623936954</v>
      </c>
      <c r="AN54" s="7">
        <f>StepperPower($F$16,$G$16,$H$16,$J$16,$K$16,$L$16,$C$2,$N$16,$Q54)</f>
        <v>43.317700396733507</v>
      </c>
      <c r="AO54" s="7">
        <f>StepperPower($F$17,$G$17,$H$17,$J$17,$K$17,$L$17,$C$2,$N$17,$Q54)</f>
        <v>21.385843535676717</v>
      </c>
      <c r="AP54" s="7" t="e">
        <f>StepperPower($F$18,$G$18,$H$18,$J$18,$K$18,$L$18,$C$2,$N$18,$Q54)</f>
        <v>#VALUE!</v>
      </c>
      <c r="AQ54" s="7" t="e">
        <f>StepperPower($F$19,$G$19,$H$19,$J$19,$K$19,$L$19,$C$2,$N$19,$Q54)</f>
        <v>#VALUE!</v>
      </c>
      <c r="AR54" s="7" t="e">
        <f>StepperPower($F$20,$G$20,$H$20,$J$20,$K$20,$L$20,$C$2,$N$20,$Q54)</f>
        <v>#VALUE!</v>
      </c>
      <c r="AS54" s="7" t="e">
        <f>StepperPower($F$21,$G$21,$H$21,$J$21,$K$21,$L$21,$C$2,$N$21,$Q54)</f>
        <v>#VALUE!</v>
      </c>
      <c r="AT54" s="7" t="e">
        <f>StepperPower($F$22,$G$22,$H$22,$J$22,$K$22,$L$22,$C$2,$N$22,$Q54)</f>
        <v>#VALUE!</v>
      </c>
      <c r="AU54" s="7" t="e">
        <f>StepperPower($F$23,$G$23,$H$23,$J$23,$K$23,$L$23,$C$2,$N$23,$Q54)</f>
        <v>#VALUE!</v>
      </c>
      <c r="AV54" s="7" t="e">
        <f>StepperPower($F$24,$G$24,$H$24,$J$24,$K$24,$L$24,$C$2,$N$24,$Q54)</f>
        <v>#VALUE!</v>
      </c>
      <c r="AW54" s="7" t="e">
        <f>StepperPower($F$25,$G$25,$H$25,$J$25,$K$25,$L$25,$C$2,$N$25,$Q54)</f>
        <v>#VALUE!</v>
      </c>
      <c r="AX54" s="7" t="e">
        <f>StepperPower($F$26,$G$26,$H$26,$J$26,$K$26,$L$26,$C$2,$N$26,$Q54)</f>
        <v>#VALUE!</v>
      </c>
      <c r="AY54" s="7" t="e">
        <f>StepperPower($F$27,$G$27,$H$27,$J$27,$K$27,$L$27,$C$2,$N$27,$Q54)</f>
        <v>#VALUE!</v>
      </c>
      <c r="AZ54" s="7" t="e">
        <f>StepperPower($F$28,$G$28,$H$28,$J$28,$K$28,$L$28,$C$2,$N$28,$Q54)</f>
        <v>#VALUE!</v>
      </c>
      <c r="BA54" s="7" t="e">
        <f>StepperPower($F$29,$G$29,$H$29,$J$29,$K$29,$L$29,$C$2,$N$29,$Q54)</f>
        <v>#VALUE!</v>
      </c>
      <c r="BB54" s="7" t="e">
        <f>StepperPower($F$30,$G$30,$H$30,$J$30,$K$30,$L$30,$C$2,$N$30,$Q54)</f>
        <v>#VALUE!</v>
      </c>
      <c r="BC54" s="7"/>
    </row>
    <row r="55" spans="3:55" x14ac:dyDescent="0.25">
      <c r="C55" s="1"/>
      <c r="Q55">
        <f t="shared" si="3"/>
        <v>26</v>
      </c>
      <c r="R55">
        <f t="shared" si="6"/>
        <v>1040</v>
      </c>
      <c r="T55" s="7" cm="1">
        <f t="array" aca="1" ref="T55" ca="1">(_xlfn.SINGLE(SingleCoilTorque($F$15,$G$15,IF($I$15="",$H$15,INDEX(INDIRECT(_xlfn.CONCAT($I$15,"[Torque]")),MATCH(MIN(ABS(INDIRECT(_xlfn.CONCAT($I$15,"[RPM]"))-$R55*60/2/$C$6)),ABS(INDIRECT(_xlfn.CONCAT($I$15,"[RPM]"))-$R55*60/2/$C$6),0))*100),$J$15,$K$15,$L$15,$C$2,$N$15,$Q55))-$O$15)*$C$8</f>
        <v>15.793442741084853</v>
      </c>
      <c r="U55" s="7" cm="1">
        <f t="array" aca="1" ref="U55" ca="1">(_xlfn.SINGLE(SingleCoilTorque($F$16,$G$16,IF($I$16="",$H$16,INDEX(INDIRECT(_xlfn.CONCAT($I$16,"[Torque]")),MATCH(MIN(ABS(INDIRECT(_xlfn.CONCAT($I$16,"[RPM]"))-$R55*60/2/$C$6)),ABS(INDIRECT(_xlfn.CONCAT($I$16,"[RPM]"))-$R55*60/2/$C$6),0))*100),$J$16,$K$16,$L$16,$C$2,$N$16,$Q55))-$O$16)*$C$8</f>
        <v>25.086962839878112</v>
      </c>
      <c r="V55" s="7" cm="1">
        <f t="array" aca="1" ref="V55" ca="1">(_xlfn.SINGLE(SingleCoilTorque($F$17,$G$17,IF($I$17="",$H$17,INDEX(INDIRECT(_xlfn.CONCAT($I$17,"[Torque]")),MATCH(MIN(ABS(INDIRECT(_xlfn.CONCAT($I$17,"[RPM]"))-$R55*60/2/$C$6)),ABS(INDIRECT(_xlfn.CONCAT($I$17,"[RPM]"))-$R55*60/2/$C$6),0))*100),$J$17,$K$17,$L$17,$C$2,$N$17,$Q55))-$O$17)*$C$8</f>
        <v>9.3200761238628225</v>
      </c>
      <c r="W55" s="7" t="e" cm="1">
        <f t="array" aca="1" ref="W55" ca="1">(_xlfn.SINGLE(SingleCoilTorque($F$18,$G$18,IF($I$18="",$H$18,INDEX(INDIRECT(_xlfn.CONCAT($I$18,"[Torque]")),MATCH(MIN(ABS(INDIRECT(_xlfn.CONCAT($I$18,"[RPM]"))-$R55*60/2/$C$6)),ABS(INDIRECT(_xlfn.CONCAT($I$18,"[RPM]"))-$R55*60/2/$C$6),0))*100),$J$18,$K$18,$L$18,$C$2,$N$18,$Q55))-$O$18)*$C$8</f>
        <v>#VALUE!</v>
      </c>
      <c r="X55" s="7" t="e" cm="1">
        <f t="array" aca="1" ref="X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Y55" s="7" t="e" cm="1">
        <f t="array" aca="1" ref="Y55" ca="1">(_xlfn.SINGLE(SingleCoilTorque($F$20,$G$20,IF($I$20="",$H$20,INDEX(INDIRECT(_xlfn.CONCAT($I$20,"[Torque]")),MATCH(MIN(ABS(INDIRECT(_xlfn.CONCAT($I$20,"[RPM]"))-$R55*60/2/$C$6)),ABS(INDIRECT(_xlfn.CONCAT($I$20,"[RPM]"))-$R55*60/2/$C$6),0))*100),$J$20,$K$20,$L$20,$C$2,$N$20,$Q55))-$O$20)*$C$8</f>
        <v>#VALUE!</v>
      </c>
      <c r="Z55" s="7" t="e" cm="1">
        <f t="array" aca="1" ref="Z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A55" s="7" t="e" cm="1">
        <f t="array" aca="1" ref="AA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B55" s="7" t="e" cm="1">
        <f t="array" aca="1" ref="AB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C55" s="7" t="e" cm="1">
        <f t="array" aca="1" ref="AC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D55" s="7" t="e" cm="1">
        <f t="array" aca="1" ref="AD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E55" s="7" t="e" cm="1">
        <f t="array" aca="1" ref="AE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F55" s="7" t="e" cm="1">
        <f t="array" aca="1" ref="AF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G55" s="7" t="e" cm="1">
        <f t="array" aca="1" ref="AG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H55" s="7" t="e" cm="1">
        <f t="array" aca="1" ref="AH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I55" s="7" t="e" cm="1">
        <f t="array" aca="1" ref="AI55" ca="1">(_xlfn.SINGLE(SingleCoilTorque($F$19,$G$19,IF($I$19="",$H$19,INDEX(INDIRECT(_xlfn.CONCAT($I$19,"[Torque]")),MATCH(MIN(ABS(INDIRECT(_xlfn.CONCAT($I$19,"[RPM]"))-$R55*60/2/$C$6)),ABS(INDIRECT(_xlfn.CONCAT($I$19,"[RPM]"))-$R55*60/2/$C$6),0))*100),$J$19,$K$19,$L$19,$C$2,$N$19,$Q55))-$O$19)*$C$8</f>
        <v>#VALUE!</v>
      </c>
      <c r="AJ55" s="7">
        <f t="shared" si="7"/>
        <v>23.8732414637843</v>
      </c>
      <c r="AL55">
        <f t="shared" si="2"/>
        <v>1040</v>
      </c>
      <c r="AM55" s="7">
        <f>StepperPower($F$15,$G$15,$H$15,$J$15,$K$15,$L$15,$C$2,$N$15,$Q55)</f>
        <v>39.141253864236091</v>
      </c>
      <c r="AN55" s="7">
        <f>StepperPower($F$16,$G$16,$H$16,$J$16,$K$16,$L$16,$C$2,$N$16,$Q55)</f>
        <v>42.136548500755666</v>
      </c>
      <c r="AO55" s="7">
        <f>StepperPower($F$17,$G$17,$H$17,$J$17,$K$17,$L$17,$C$2,$N$17,$Q55)</f>
        <v>20.079813985147045</v>
      </c>
      <c r="AP55" s="7" t="e">
        <f>StepperPower($F$18,$G$18,$H$18,$J$18,$K$18,$L$18,$C$2,$N$18,$Q55)</f>
        <v>#VALUE!</v>
      </c>
      <c r="AQ55" s="7" t="e">
        <f>StepperPower($F$19,$G$19,$H$19,$J$19,$K$19,$L$19,$C$2,$N$19,$Q55)</f>
        <v>#VALUE!</v>
      </c>
      <c r="AR55" s="7" t="e">
        <f>StepperPower($F$20,$G$20,$H$20,$J$20,$K$20,$L$20,$C$2,$N$20,$Q55)</f>
        <v>#VALUE!</v>
      </c>
      <c r="AS55" s="7" t="e">
        <f>StepperPower($F$21,$G$21,$H$21,$J$21,$K$21,$L$21,$C$2,$N$21,$Q55)</f>
        <v>#VALUE!</v>
      </c>
      <c r="AT55" s="7" t="e">
        <f>StepperPower($F$22,$G$22,$H$22,$J$22,$K$22,$L$22,$C$2,$N$22,$Q55)</f>
        <v>#VALUE!</v>
      </c>
      <c r="AU55" s="7" t="e">
        <f>StepperPower($F$23,$G$23,$H$23,$J$23,$K$23,$L$23,$C$2,$N$23,$Q55)</f>
        <v>#VALUE!</v>
      </c>
      <c r="AV55" s="7" t="e">
        <f>StepperPower($F$24,$G$24,$H$24,$J$24,$K$24,$L$24,$C$2,$N$24,$Q55)</f>
        <v>#VALUE!</v>
      </c>
      <c r="AW55" s="7" t="e">
        <f>StepperPower($F$25,$G$25,$H$25,$J$25,$K$25,$L$25,$C$2,$N$25,$Q55)</f>
        <v>#VALUE!</v>
      </c>
      <c r="AX55" s="7" t="e">
        <f>StepperPower($F$26,$G$26,$H$26,$J$26,$K$26,$L$26,$C$2,$N$26,$Q55)</f>
        <v>#VALUE!</v>
      </c>
      <c r="AY55" s="7" t="e">
        <f>StepperPower($F$27,$G$27,$H$27,$J$27,$K$27,$L$27,$C$2,$N$27,$Q55)</f>
        <v>#VALUE!</v>
      </c>
      <c r="AZ55" s="7" t="e">
        <f>StepperPower($F$28,$G$28,$H$28,$J$28,$K$28,$L$28,$C$2,$N$28,$Q55)</f>
        <v>#VALUE!</v>
      </c>
      <c r="BA55" s="7" t="e">
        <f>StepperPower($F$29,$G$29,$H$29,$J$29,$K$29,$L$29,$C$2,$N$29,$Q55)</f>
        <v>#VALUE!</v>
      </c>
      <c r="BB55" s="7" t="e">
        <f>StepperPower($F$30,$G$30,$H$30,$J$30,$K$30,$L$30,$C$2,$N$30,$Q55)</f>
        <v>#VALUE!</v>
      </c>
      <c r="BC55" s="7"/>
    </row>
    <row r="56" spans="3:55" x14ac:dyDescent="0.25">
      <c r="C56" s="1"/>
      <c r="Q56">
        <f t="shared" si="3"/>
        <v>26.5</v>
      </c>
      <c r="R56">
        <f t="shared" si="6"/>
        <v>1060</v>
      </c>
      <c r="T56" s="7" cm="1">
        <f t="array" aca="1" ref="T56" ca="1">(_xlfn.SINGLE(SingleCoilTorque($F$15,$G$15,IF($I$15="",$H$15,INDEX(INDIRECT(_xlfn.CONCAT($I$15,"[Torque]")),MATCH(MIN(ABS(INDIRECT(_xlfn.CONCAT($I$15,"[RPM]"))-$R56*60/2/$C$6)),ABS(INDIRECT(_xlfn.CONCAT($I$15,"[RPM]"))-$R56*60/2/$C$6),0))*100),$J$15,$K$15,$L$15,$C$2,$N$15,$Q56))-$O$15)*$C$8</f>
        <v>15.136165335336251</v>
      </c>
      <c r="U56" s="7" cm="1">
        <f t="array" aca="1" ref="U56" ca="1">(_xlfn.SINGLE(SingleCoilTorque($F$16,$G$16,IF($I$16="",$H$16,INDEX(INDIRECT(_xlfn.CONCAT($I$16,"[Torque]")),MATCH(MIN(ABS(INDIRECT(_xlfn.CONCAT($I$16,"[RPM]"))-$R56*60/2/$C$6)),ABS(INDIRECT(_xlfn.CONCAT($I$16,"[RPM]"))-$R56*60/2/$C$6),0))*100),$J$16,$K$16,$L$16,$C$2,$N$16,$Q56))-$O$16)*$C$8</f>
        <v>24.203000652856971</v>
      </c>
      <c r="V56" s="7" cm="1">
        <f t="array" aca="1" ref="V56" ca="1">(_xlfn.SINGLE(SingleCoilTorque($F$17,$G$17,IF($I$17="",$H$17,INDEX(INDIRECT(_xlfn.CONCAT($I$17,"[Torque]")),MATCH(MIN(ABS(INDIRECT(_xlfn.CONCAT($I$17,"[RPM]"))-$R56*60/2/$C$6)),ABS(INDIRECT(_xlfn.CONCAT($I$17,"[RPM]"))-$R56*60/2/$C$6),0))*100),$J$17,$K$17,$L$17,$C$2,$N$17,$Q56))-$O$17)*$C$8</f>
        <v>8.7139904352663002</v>
      </c>
      <c r="W56" s="7" t="e" cm="1">
        <f t="array" aca="1" ref="W56" ca="1">(_xlfn.SINGLE(SingleCoilTorque($F$18,$G$18,IF($I$18="",$H$18,INDEX(INDIRECT(_xlfn.CONCAT($I$18,"[Torque]")),MATCH(MIN(ABS(INDIRECT(_xlfn.CONCAT($I$18,"[RPM]"))-$R56*60/2/$C$6)),ABS(INDIRECT(_xlfn.CONCAT($I$18,"[RPM]"))-$R56*60/2/$C$6),0))*100),$J$18,$K$18,$L$18,$C$2,$N$18,$Q56))-$O$18)*$C$8</f>
        <v>#VALUE!</v>
      </c>
      <c r="X56" s="7" t="e" cm="1">
        <f t="array" aca="1" ref="X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Y56" s="7" t="e" cm="1">
        <f t="array" aca="1" ref="Y56" ca="1">(_xlfn.SINGLE(SingleCoilTorque($F$20,$G$20,IF($I$20="",$H$20,INDEX(INDIRECT(_xlfn.CONCAT($I$20,"[Torque]")),MATCH(MIN(ABS(INDIRECT(_xlfn.CONCAT($I$20,"[RPM]"))-$R56*60/2/$C$6)),ABS(INDIRECT(_xlfn.CONCAT($I$20,"[RPM]"))-$R56*60/2/$C$6),0))*100),$J$20,$K$20,$L$20,$C$2,$N$20,$Q56))-$O$20)*$C$8</f>
        <v>#VALUE!</v>
      </c>
      <c r="Z56" s="7" t="e" cm="1">
        <f t="array" aca="1" ref="Z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A56" s="7" t="e" cm="1">
        <f t="array" aca="1" ref="AA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B56" s="7" t="e" cm="1">
        <f t="array" aca="1" ref="AB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C56" s="7" t="e" cm="1">
        <f t="array" aca="1" ref="AC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D56" s="7" t="e" cm="1">
        <f t="array" aca="1" ref="AD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E56" s="7" t="e" cm="1">
        <f t="array" aca="1" ref="AE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F56" s="7" t="e" cm="1">
        <f t="array" aca="1" ref="AF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G56" s="7" t="e" cm="1">
        <f t="array" aca="1" ref="AG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H56" s="7" t="e" cm="1">
        <f t="array" aca="1" ref="AH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I56" s="7" t="e" cm="1">
        <f t="array" aca="1" ref="AI56" ca="1">(_xlfn.SINGLE(SingleCoilTorque($F$19,$G$19,IF($I$19="",$H$19,INDEX(INDIRECT(_xlfn.CONCAT($I$19,"[Torque]")),MATCH(MIN(ABS(INDIRECT(_xlfn.CONCAT($I$19,"[RPM]"))-$R56*60/2/$C$6)),ABS(INDIRECT(_xlfn.CONCAT($I$19,"[RPM]"))-$R56*60/2/$C$6),0))*100),$J$19,$K$19,$L$19,$C$2,$N$19,$Q56))-$O$19)*$C$8</f>
        <v>#VALUE!</v>
      </c>
      <c r="AJ56" s="7">
        <f t="shared" si="7"/>
        <v>23.8732414637843</v>
      </c>
      <c r="AL56">
        <f t="shared" si="2"/>
        <v>1060</v>
      </c>
      <c r="AM56" s="7">
        <f>StepperPower($F$15,$G$15,$H$15,$J$15,$K$15,$L$15,$C$2,$N$15,$Q56)</f>
        <v>37.743111161368041</v>
      </c>
      <c r="AN56" s="7">
        <f>StepperPower($F$16,$G$16,$H$16,$J$16,$K$16,$L$16,$C$2,$N$16,$Q56)</f>
        <v>40.964468637861614</v>
      </c>
      <c r="AO56" s="7">
        <f>StepperPower($F$17,$G$17,$H$17,$J$17,$K$17,$L$17,$C$2,$N$17,$Q56)</f>
        <v>18.77639199795809</v>
      </c>
      <c r="AP56" s="7" t="e">
        <f>StepperPower($F$18,$G$18,$H$18,$J$18,$K$18,$L$18,$C$2,$N$18,$Q56)</f>
        <v>#VALUE!</v>
      </c>
      <c r="AQ56" s="7" t="e">
        <f>StepperPower($F$19,$G$19,$H$19,$J$19,$K$19,$L$19,$C$2,$N$19,$Q56)</f>
        <v>#VALUE!</v>
      </c>
      <c r="AR56" s="7" t="e">
        <f>StepperPower($F$20,$G$20,$H$20,$J$20,$K$20,$L$20,$C$2,$N$20,$Q56)</f>
        <v>#VALUE!</v>
      </c>
      <c r="AS56" s="7" t="e">
        <f>StepperPower($F$21,$G$21,$H$21,$J$21,$K$21,$L$21,$C$2,$N$21,$Q56)</f>
        <v>#VALUE!</v>
      </c>
      <c r="AT56" s="7" t="e">
        <f>StepperPower($F$22,$G$22,$H$22,$J$22,$K$22,$L$22,$C$2,$N$22,$Q56)</f>
        <v>#VALUE!</v>
      </c>
      <c r="AU56" s="7" t="e">
        <f>StepperPower($F$23,$G$23,$H$23,$J$23,$K$23,$L$23,$C$2,$N$23,$Q56)</f>
        <v>#VALUE!</v>
      </c>
      <c r="AV56" s="7" t="e">
        <f>StepperPower($F$24,$G$24,$H$24,$J$24,$K$24,$L$24,$C$2,$N$24,$Q56)</f>
        <v>#VALUE!</v>
      </c>
      <c r="AW56" s="7" t="e">
        <f>StepperPower($F$25,$G$25,$H$25,$J$25,$K$25,$L$25,$C$2,$N$25,$Q56)</f>
        <v>#VALUE!</v>
      </c>
      <c r="AX56" s="7" t="e">
        <f>StepperPower($F$26,$G$26,$H$26,$J$26,$K$26,$L$26,$C$2,$N$26,$Q56)</f>
        <v>#VALUE!</v>
      </c>
      <c r="AY56" s="7" t="e">
        <f>StepperPower($F$27,$G$27,$H$27,$J$27,$K$27,$L$27,$C$2,$N$27,$Q56)</f>
        <v>#VALUE!</v>
      </c>
      <c r="AZ56" s="7" t="e">
        <f>StepperPower($F$28,$G$28,$H$28,$J$28,$K$28,$L$28,$C$2,$N$28,$Q56)</f>
        <v>#VALUE!</v>
      </c>
      <c r="BA56" s="7" t="e">
        <f>StepperPower($F$29,$G$29,$H$29,$J$29,$K$29,$L$29,$C$2,$N$29,$Q56)</f>
        <v>#VALUE!</v>
      </c>
      <c r="BB56" s="7" t="e">
        <f>StepperPower($F$30,$G$30,$H$30,$J$30,$K$30,$L$30,$C$2,$N$30,$Q56)</f>
        <v>#VALUE!</v>
      </c>
      <c r="BC56" s="7"/>
    </row>
    <row r="57" spans="3:55" x14ac:dyDescent="0.25">
      <c r="C57" s="1"/>
      <c r="Q57">
        <f t="shared" si="3"/>
        <v>27</v>
      </c>
      <c r="R57">
        <f t="shared" si="6"/>
        <v>1080</v>
      </c>
      <c r="T57" s="7" cm="1">
        <f t="array" aca="1" ref="T57" ca="1">(_xlfn.SINGLE(SingleCoilTorque($F$15,$G$15,IF($I$15="",$H$15,INDEX(INDIRECT(_xlfn.CONCAT($I$15,"[Torque]")),MATCH(MIN(ABS(INDIRECT(_xlfn.CONCAT($I$15,"[RPM]"))-$R57*60/2/$C$6)),ABS(INDIRECT(_xlfn.CONCAT($I$15,"[RPM]"))-$R57*60/2/$C$6),0))*100),$J$15,$K$15,$L$15,$C$2,$N$15,$Q57))-$O$15)*$C$8</f>
        <v>14.501560880435177</v>
      </c>
      <c r="U57" s="7" cm="1">
        <f t="array" aca="1" ref="U57" ca="1">(_xlfn.SINGLE(SingleCoilTorque($F$16,$G$16,IF($I$16="",$H$16,INDEX(INDIRECT(_xlfn.CONCAT($I$16,"[Torque]")),MATCH(MIN(ABS(INDIRECT(_xlfn.CONCAT($I$16,"[RPM]"))-$R57*60/2/$C$6)),ABS(INDIRECT(_xlfn.CONCAT($I$16,"[RPM]"))-$R57*60/2/$C$6),0))*100),$J$16,$K$16,$L$16,$C$2,$N$16,$Q57))-$O$16)*$C$8</f>
        <v>23.349741676172734</v>
      </c>
      <c r="V57" s="7" cm="1">
        <f t="array" aca="1" ref="V57" ca="1">(_xlfn.SINGLE(SingleCoilTorque($F$17,$G$17,IF($I$17="",$H$17,INDEX(INDIRECT(_xlfn.CONCAT($I$17,"[Torque]")),MATCH(MIN(ABS(INDIRECT(_xlfn.CONCAT($I$17,"[RPM]"))-$R57*60/2/$C$6)),ABS(INDIRECT(_xlfn.CONCAT($I$17,"[RPM]"))-$R57*60/2/$C$6),0))*100),$J$17,$K$17,$L$17,$C$2,$N$17,$Q57))-$O$17)*$C$8</f>
        <v>8.1293012947569689</v>
      </c>
      <c r="W57" s="7" t="e" cm="1">
        <f t="array" aca="1" ref="W57" ca="1">(_xlfn.SINGLE(SingleCoilTorque($F$18,$G$18,IF($I$18="",$H$18,INDEX(INDIRECT(_xlfn.CONCAT($I$18,"[Torque]")),MATCH(MIN(ABS(INDIRECT(_xlfn.CONCAT($I$18,"[RPM]"))-$R57*60/2/$C$6)),ABS(INDIRECT(_xlfn.CONCAT($I$18,"[RPM]"))-$R57*60/2/$C$6),0))*100),$J$18,$K$18,$L$18,$C$2,$N$18,$Q57))-$O$18)*$C$8</f>
        <v>#VALUE!</v>
      </c>
      <c r="X57" s="7" t="e" cm="1">
        <f t="array" aca="1" ref="X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Y57" s="7" t="e" cm="1">
        <f t="array" aca="1" ref="Y57" ca="1">(_xlfn.SINGLE(SingleCoilTorque($F$20,$G$20,IF($I$20="",$H$20,INDEX(INDIRECT(_xlfn.CONCAT($I$20,"[Torque]")),MATCH(MIN(ABS(INDIRECT(_xlfn.CONCAT($I$20,"[RPM]"))-$R57*60/2/$C$6)),ABS(INDIRECT(_xlfn.CONCAT($I$20,"[RPM]"))-$R57*60/2/$C$6),0))*100),$J$20,$K$20,$L$20,$C$2,$N$20,$Q57))-$O$20)*$C$8</f>
        <v>#VALUE!</v>
      </c>
      <c r="Z57" s="7" t="e" cm="1">
        <f t="array" aca="1" ref="Z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A57" s="7" t="e" cm="1">
        <f t="array" aca="1" ref="AA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B57" s="7" t="e" cm="1">
        <f t="array" aca="1" ref="AB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C57" s="7" t="e" cm="1">
        <f t="array" aca="1" ref="AC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D57" s="7" t="e" cm="1">
        <f t="array" aca="1" ref="AD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E57" s="7" t="e" cm="1">
        <f t="array" aca="1" ref="AE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F57" s="7" t="e" cm="1">
        <f t="array" aca="1" ref="AF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G57" s="7" t="e" cm="1">
        <f t="array" aca="1" ref="AG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H57" s="7" t="e" cm="1">
        <f t="array" aca="1" ref="AH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I57" s="7" t="e" cm="1">
        <f t="array" aca="1" ref="AI57" ca="1">(_xlfn.SINGLE(SingleCoilTorque($F$19,$G$19,IF($I$19="",$H$19,INDEX(INDIRECT(_xlfn.CONCAT($I$19,"[Torque]")),MATCH(MIN(ABS(INDIRECT(_xlfn.CONCAT($I$19,"[RPM]"))-$R57*60/2/$C$6)),ABS(INDIRECT(_xlfn.CONCAT($I$19,"[RPM]"))-$R57*60/2/$C$6),0))*100),$J$19,$K$19,$L$19,$C$2,$N$19,$Q57))-$O$19)*$C$8</f>
        <v>#VALUE!</v>
      </c>
      <c r="AJ57" s="7">
        <f t="shared" si="7"/>
        <v>23.8732414637843</v>
      </c>
      <c r="AL57">
        <f t="shared" si="2"/>
        <v>1080</v>
      </c>
      <c r="AM57" s="7">
        <f>StepperPower($F$15,$G$15,$H$15,$J$15,$K$15,$L$15,$C$2,$N$15,$Q57)</f>
        <v>36.35250910748497</v>
      </c>
      <c r="AN57" s="7">
        <f>StepperPower($F$16,$G$16,$H$16,$J$16,$K$16,$L$16,$C$2,$N$16,$Q57)</f>
        <v>39.800613949879214</v>
      </c>
      <c r="AO57" s="7">
        <f>StepperPower($F$17,$G$17,$H$17,$J$17,$K$17,$L$17,$C$2,$N$17,$Q57)</f>
        <v>17.475238887775678</v>
      </c>
      <c r="AP57" s="7" t="e">
        <f>StepperPower($F$18,$G$18,$H$18,$J$18,$K$18,$L$18,$C$2,$N$18,$Q57)</f>
        <v>#VALUE!</v>
      </c>
      <c r="AQ57" s="7" t="e">
        <f>StepperPower($F$19,$G$19,$H$19,$J$19,$K$19,$L$19,$C$2,$N$19,$Q57)</f>
        <v>#VALUE!</v>
      </c>
      <c r="AR57" s="7" t="e">
        <f>StepperPower($F$20,$G$20,$H$20,$J$20,$K$20,$L$20,$C$2,$N$20,$Q57)</f>
        <v>#VALUE!</v>
      </c>
      <c r="AS57" s="7" t="e">
        <f>StepperPower($F$21,$G$21,$H$21,$J$21,$K$21,$L$21,$C$2,$N$21,$Q57)</f>
        <v>#VALUE!</v>
      </c>
      <c r="AT57" s="7" t="e">
        <f>StepperPower($F$22,$G$22,$H$22,$J$22,$K$22,$L$22,$C$2,$N$22,$Q57)</f>
        <v>#VALUE!</v>
      </c>
      <c r="AU57" s="7" t="e">
        <f>StepperPower($F$23,$G$23,$H$23,$J$23,$K$23,$L$23,$C$2,$N$23,$Q57)</f>
        <v>#VALUE!</v>
      </c>
      <c r="AV57" s="7" t="e">
        <f>StepperPower($F$24,$G$24,$H$24,$J$24,$K$24,$L$24,$C$2,$N$24,$Q57)</f>
        <v>#VALUE!</v>
      </c>
      <c r="AW57" s="7" t="e">
        <f>StepperPower($F$25,$G$25,$H$25,$J$25,$K$25,$L$25,$C$2,$N$25,$Q57)</f>
        <v>#VALUE!</v>
      </c>
      <c r="AX57" s="7" t="e">
        <f>StepperPower($F$26,$G$26,$H$26,$J$26,$K$26,$L$26,$C$2,$N$26,$Q57)</f>
        <v>#VALUE!</v>
      </c>
      <c r="AY57" s="7" t="e">
        <f>StepperPower($F$27,$G$27,$H$27,$J$27,$K$27,$L$27,$C$2,$N$27,$Q57)</f>
        <v>#VALUE!</v>
      </c>
      <c r="AZ57" s="7" t="e">
        <f>StepperPower($F$28,$G$28,$H$28,$J$28,$K$28,$L$28,$C$2,$N$28,$Q57)</f>
        <v>#VALUE!</v>
      </c>
      <c r="BA57" s="7" t="e">
        <f>StepperPower($F$29,$G$29,$H$29,$J$29,$K$29,$L$29,$C$2,$N$29,$Q57)</f>
        <v>#VALUE!</v>
      </c>
      <c r="BB57" s="7" t="e">
        <f>StepperPower($F$30,$G$30,$H$30,$J$30,$K$30,$L$30,$C$2,$N$30,$Q57)</f>
        <v>#VALUE!</v>
      </c>
      <c r="BC57" s="7"/>
    </row>
    <row r="58" spans="3:55" x14ac:dyDescent="0.25">
      <c r="Q58">
        <f t="shared" si="3"/>
        <v>27.5</v>
      </c>
      <c r="R58">
        <f t="shared" si="6"/>
        <v>1100</v>
      </c>
      <c r="T58" s="7" cm="1">
        <f t="array" aca="1" ref="T58" ca="1">(_xlfn.SINGLE(SingleCoilTorque($F$15,$G$15,IF($I$15="",$H$15,INDEX(INDIRECT(_xlfn.CONCAT($I$15,"[Torque]")),MATCH(MIN(ABS(INDIRECT(_xlfn.CONCAT($I$15,"[RPM]"))-$R58*60/2/$C$6)),ABS(INDIRECT(_xlfn.CONCAT($I$15,"[RPM]"))-$R58*60/2/$C$6),0))*100),$J$15,$K$15,$L$15,$C$2,$N$15,$Q58))-$O$15)*$C$8</f>
        <v>13.888476103809939</v>
      </c>
      <c r="U58" s="7" cm="1">
        <f t="array" aca="1" ref="U58" ca="1">(_xlfn.SINGLE(SingleCoilTorque($F$16,$G$16,IF($I$16="",$H$16,INDEX(INDIRECT(_xlfn.CONCAT($I$16,"[Torque]")),MATCH(MIN(ABS(INDIRECT(_xlfn.CONCAT($I$16,"[RPM]"))-$R58*60/2/$C$6)),ABS(INDIRECT(_xlfn.CONCAT($I$16,"[RPM]"))-$R58*60/2/$C$6),0))*100),$J$16,$K$16,$L$16,$C$2,$N$16,$Q58))-$O$16)*$C$8</f>
        <v>22.525613565778453</v>
      </c>
      <c r="V58" s="7" cm="1">
        <f t="array" aca="1" ref="V58" ca="1">(_xlfn.SINGLE(SingleCoilTorque($F$17,$G$17,IF($I$17="",$H$17,INDEX(INDIRECT(_xlfn.CONCAT($I$17,"[Torque]")),MATCH(MIN(ABS(INDIRECT(_xlfn.CONCAT($I$17,"[RPM]"))-$R58*60/2/$C$6)),ABS(INDIRECT(_xlfn.CONCAT($I$17,"[RPM]"))-$R58*60/2/$C$6),0))*100),$J$17,$K$17,$L$17,$C$2,$N$17,$Q58))-$O$17)*$C$8</f>
        <v>7.5648953166979398</v>
      </c>
      <c r="W58" s="7" t="e" cm="1">
        <f t="array" aca="1" ref="W58" ca="1">(_xlfn.SINGLE(SingleCoilTorque($F$18,$G$18,IF($I$18="",$H$18,INDEX(INDIRECT(_xlfn.CONCAT($I$18,"[Torque]")),MATCH(MIN(ABS(INDIRECT(_xlfn.CONCAT($I$18,"[RPM]"))-$R58*60/2/$C$6)),ABS(INDIRECT(_xlfn.CONCAT($I$18,"[RPM]"))-$R58*60/2/$C$6),0))*100),$J$18,$K$18,$L$18,$C$2,$N$18,$Q58))-$O$18)*$C$8</f>
        <v>#VALUE!</v>
      </c>
      <c r="X58" s="7" t="e" cm="1">
        <f t="array" aca="1" ref="X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Y58" s="7" t="e" cm="1">
        <f t="array" aca="1" ref="Y58" ca="1">(_xlfn.SINGLE(SingleCoilTorque($F$20,$G$20,IF($I$20="",$H$20,INDEX(INDIRECT(_xlfn.CONCAT($I$20,"[Torque]")),MATCH(MIN(ABS(INDIRECT(_xlfn.CONCAT($I$20,"[RPM]"))-$R58*60/2/$C$6)),ABS(INDIRECT(_xlfn.CONCAT($I$20,"[RPM]"))-$R58*60/2/$C$6),0))*100),$J$20,$K$20,$L$20,$C$2,$N$20,$Q58))-$O$20)*$C$8</f>
        <v>#VALUE!</v>
      </c>
      <c r="Z58" s="7" t="e" cm="1">
        <f t="array" aca="1" ref="Z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A58" s="7" t="e" cm="1">
        <f t="array" aca="1" ref="AA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B58" s="7" t="e" cm="1">
        <f t="array" aca="1" ref="AB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C58" s="7" t="e" cm="1">
        <f t="array" aca="1" ref="AC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D58" s="7" t="e" cm="1">
        <f t="array" aca="1" ref="AD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E58" s="7" t="e" cm="1">
        <f t="array" aca="1" ref="AE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F58" s="7" t="e" cm="1">
        <f t="array" aca="1" ref="AF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G58" s="7" t="e" cm="1">
        <f t="array" aca="1" ref="AG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H58" s="7" t="e" cm="1">
        <f t="array" aca="1" ref="AH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I58" s="7" t="e" cm="1">
        <f t="array" aca="1" ref="AI58" ca="1">(_xlfn.SINGLE(SingleCoilTorque($F$19,$G$19,IF($I$19="",$H$19,INDEX(INDIRECT(_xlfn.CONCAT($I$19,"[Torque]")),MATCH(MIN(ABS(INDIRECT(_xlfn.CONCAT($I$19,"[RPM]"))-$R58*60/2/$C$6)),ABS(INDIRECT(_xlfn.CONCAT($I$19,"[RPM]"))-$R58*60/2/$C$6),0))*100),$J$19,$K$19,$L$19,$C$2,$N$19,$Q58))-$O$19)*$C$8</f>
        <v>#VALUE!</v>
      </c>
      <c r="AJ58" s="7">
        <f t="shared" si="7"/>
        <v>23.8732414637843</v>
      </c>
      <c r="AL58">
        <f t="shared" si="2"/>
        <v>1100</v>
      </c>
      <c r="AM58" s="7">
        <f>StepperPower($F$15,$G$15,$H$15,$J$15,$K$15,$L$15,$C$2,$N$15,$Q58)</f>
        <v>34.96868967214364</v>
      </c>
      <c r="AN58" s="7">
        <f>StepperPower($F$16,$G$16,$H$16,$J$16,$K$16,$L$16,$C$2,$N$16,$Q58)</f>
        <v>38.644220518143094</v>
      </c>
      <c r="AO58" s="7">
        <f>StepperPower($F$17,$G$17,$H$17,$J$17,$K$17,$L$17,$C$2,$N$17,$Q58)</f>
        <v>16.176053143412272</v>
      </c>
      <c r="AP58" s="7" t="e">
        <f>StepperPower($F$18,$G$18,$H$18,$J$18,$K$18,$L$18,$C$2,$N$18,$Q58)</f>
        <v>#VALUE!</v>
      </c>
      <c r="AQ58" s="7" t="e">
        <f>StepperPower($F$19,$G$19,$H$19,$J$19,$K$19,$L$19,$C$2,$N$19,$Q58)</f>
        <v>#VALUE!</v>
      </c>
      <c r="AR58" s="7" t="e">
        <f>StepperPower($F$20,$G$20,$H$20,$J$20,$K$20,$L$20,$C$2,$N$20,$Q58)</f>
        <v>#VALUE!</v>
      </c>
      <c r="AS58" s="7" t="e">
        <f>StepperPower($F$21,$G$21,$H$21,$J$21,$K$21,$L$21,$C$2,$N$21,$Q58)</f>
        <v>#VALUE!</v>
      </c>
      <c r="AT58" s="7" t="e">
        <f>StepperPower($F$22,$G$22,$H$22,$J$22,$K$22,$L$22,$C$2,$N$22,$Q58)</f>
        <v>#VALUE!</v>
      </c>
      <c r="AU58" s="7" t="e">
        <f>StepperPower($F$23,$G$23,$H$23,$J$23,$K$23,$L$23,$C$2,$N$23,$Q58)</f>
        <v>#VALUE!</v>
      </c>
      <c r="AV58" s="7" t="e">
        <f>StepperPower($F$24,$G$24,$H$24,$J$24,$K$24,$L$24,$C$2,$N$24,$Q58)</f>
        <v>#VALUE!</v>
      </c>
      <c r="AW58" s="7" t="e">
        <f>StepperPower($F$25,$G$25,$H$25,$J$25,$K$25,$L$25,$C$2,$N$25,$Q58)</f>
        <v>#VALUE!</v>
      </c>
      <c r="AX58" s="7" t="e">
        <f>StepperPower($F$26,$G$26,$H$26,$J$26,$K$26,$L$26,$C$2,$N$26,$Q58)</f>
        <v>#VALUE!</v>
      </c>
      <c r="AY58" s="7" t="e">
        <f>StepperPower($F$27,$G$27,$H$27,$J$27,$K$27,$L$27,$C$2,$N$27,$Q58)</f>
        <v>#VALUE!</v>
      </c>
      <c r="AZ58" s="7" t="e">
        <f>StepperPower($F$28,$G$28,$H$28,$J$28,$K$28,$L$28,$C$2,$N$28,$Q58)</f>
        <v>#VALUE!</v>
      </c>
      <c r="BA58" s="7" t="e">
        <f>StepperPower($F$29,$G$29,$H$29,$J$29,$K$29,$L$29,$C$2,$N$29,$Q58)</f>
        <v>#VALUE!</v>
      </c>
      <c r="BB58" s="7" t="e">
        <f>StepperPower($F$30,$G$30,$H$30,$J$30,$K$30,$L$30,$C$2,$N$30,$Q58)</f>
        <v>#VALUE!</v>
      </c>
      <c r="BC58" s="7"/>
    </row>
    <row r="59" spans="3:55" x14ac:dyDescent="0.25">
      <c r="Q59">
        <f t="shared" si="3"/>
        <v>28</v>
      </c>
      <c r="R59">
        <f t="shared" si="6"/>
        <v>1120</v>
      </c>
      <c r="T59" s="7" cm="1">
        <f t="array" aca="1" ref="T59" ca="1">(_xlfn.SINGLE(SingleCoilTorque($F$15,$G$15,IF($I$15="",$H$15,INDEX(INDIRECT(_xlfn.CONCAT($I$15,"[Torque]")),MATCH(MIN(ABS(INDIRECT(_xlfn.CONCAT($I$15,"[RPM]"))-$R59*60/2/$C$6)),ABS(INDIRECT(_xlfn.CONCAT($I$15,"[RPM]"))-$R59*60/2/$C$6),0))*100),$J$15,$K$15,$L$15,$C$2,$N$15,$Q59))-$O$15)*$C$8</f>
        <v>13.29583464465772</v>
      </c>
      <c r="U59" s="7" cm="1">
        <f t="array" aca="1" ref="U59" ca="1">(_xlfn.SINGLE(SingleCoilTorque($F$16,$G$16,IF($I$16="",$H$16,INDEX(INDIRECT(_xlfn.CONCAT($I$16,"[Torque]")),MATCH(MIN(ABS(INDIRECT(_xlfn.CONCAT($I$16,"[RPM]"))-$R59*60/2/$C$6)),ABS(INDIRECT(_xlfn.CONCAT($I$16,"[RPM]"))-$R59*60/2/$C$6),0))*100),$J$16,$K$16,$L$16,$C$2,$N$16,$Q59))-$O$16)*$C$8</f>
        <v>20.940510329915796</v>
      </c>
      <c r="V59" s="7" cm="1">
        <f t="array" aca="1" ref="V59" ca="1">(_xlfn.SINGLE(SingleCoilTorque($F$17,$G$17,IF($I$17="",$H$17,INDEX(INDIRECT(_xlfn.CONCAT($I$17,"[Torque]")),MATCH(MIN(ABS(INDIRECT(_xlfn.CONCAT($I$17,"[RPM]"))-$R59*60/2/$C$6)),ABS(INDIRECT(_xlfn.CONCAT($I$17,"[RPM]"))-$R59*60/2/$C$6),0))*100),$J$17,$K$17,$L$17,$C$2,$N$17,$Q59))-$O$17)*$C$8</f>
        <v>6.297438544035046</v>
      </c>
      <c r="W59" s="7" t="e" cm="1">
        <f t="array" aca="1" ref="W59" ca="1">(_xlfn.SINGLE(SingleCoilTorque($F$18,$G$18,IF($I$18="",$H$18,INDEX(INDIRECT(_xlfn.CONCAT($I$18,"[Torque]")),MATCH(MIN(ABS(INDIRECT(_xlfn.CONCAT($I$18,"[RPM]"))-$R59*60/2/$C$6)),ABS(INDIRECT(_xlfn.CONCAT($I$18,"[RPM]"))-$R59*60/2/$C$6),0))*100),$J$18,$K$18,$L$18,$C$2,$N$18,$Q59))-$O$18)*$C$8</f>
        <v>#VALUE!</v>
      </c>
      <c r="X59" s="7" t="e" cm="1">
        <f t="array" aca="1" ref="X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Y59" s="7" t="e" cm="1">
        <f t="array" aca="1" ref="Y59" ca="1">(_xlfn.SINGLE(SingleCoilTorque($F$20,$G$20,IF($I$20="",$H$20,INDEX(INDIRECT(_xlfn.CONCAT($I$20,"[Torque]")),MATCH(MIN(ABS(INDIRECT(_xlfn.CONCAT($I$20,"[RPM]"))-$R59*60/2/$C$6)),ABS(INDIRECT(_xlfn.CONCAT($I$20,"[RPM]"))-$R59*60/2/$C$6),0))*100),$J$20,$K$20,$L$20,$C$2,$N$20,$Q59))-$O$20)*$C$8</f>
        <v>#VALUE!</v>
      </c>
      <c r="Z59" s="7" t="e" cm="1">
        <f t="array" aca="1" ref="Z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A59" s="7" t="e" cm="1">
        <f t="array" aca="1" ref="AA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B59" s="7" t="e" cm="1">
        <f t="array" aca="1" ref="AB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C59" s="7" t="e" cm="1">
        <f t="array" aca="1" ref="AC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D59" s="7" t="e" cm="1">
        <f t="array" aca="1" ref="AD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E59" s="7" t="e" cm="1">
        <f t="array" aca="1" ref="AE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F59" s="7" t="e" cm="1">
        <f t="array" aca="1" ref="AF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G59" s="7" t="e" cm="1">
        <f t="array" aca="1" ref="AG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H59" s="7" t="e" cm="1">
        <f t="array" aca="1" ref="AH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I59" s="7" t="e" cm="1">
        <f t="array" aca="1" ref="AI59" ca="1">(_xlfn.SINGLE(SingleCoilTorque($F$19,$G$19,IF($I$19="",$H$19,INDEX(INDIRECT(_xlfn.CONCAT($I$19,"[Torque]")),MATCH(MIN(ABS(INDIRECT(_xlfn.CONCAT($I$19,"[RPM]"))-$R59*60/2/$C$6)),ABS(INDIRECT(_xlfn.CONCAT($I$19,"[RPM]"))-$R59*60/2/$C$6),0))*100),$J$19,$K$19,$L$19,$C$2,$N$19,$Q59))-$O$19)*$C$8</f>
        <v>#VALUE!</v>
      </c>
      <c r="AJ59" s="7">
        <f t="shared" si="7"/>
        <v>23.8732414637843</v>
      </c>
      <c r="AL59">
        <f t="shared" si="2"/>
        <v>1120</v>
      </c>
      <c r="AM59" s="7">
        <f>StepperPower($F$15,$G$15,$H$15,$J$15,$K$15,$L$15,$C$2,$N$15,$Q59)</f>
        <v>33.590969935074497</v>
      </c>
      <c r="AN59" s="7">
        <f>StepperPower($F$16,$G$16,$H$16,$J$16,$K$16,$L$16,$C$2,$N$16,$Q59)</f>
        <v>37.494598331030545</v>
      </c>
      <c r="AO59" s="7">
        <f>StepperPower($F$17,$G$17,$H$17,$J$17,$K$17,$L$17,$C$2,$N$17,$Q59)</f>
        <v>14.878566113702158</v>
      </c>
      <c r="AP59" s="7" t="e">
        <f>StepperPower($F$18,$G$18,$H$18,$J$18,$K$18,$L$18,$C$2,$N$18,$Q59)</f>
        <v>#VALUE!</v>
      </c>
      <c r="AQ59" s="7" t="e">
        <f>StepperPower($F$19,$G$19,$H$19,$J$19,$K$19,$L$19,$C$2,$N$19,$Q59)</f>
        <v>#VALUE!</v>
      </c>
      <c r="AR59" s="7" t="e">
        <f>StepperPower($F$20,$G$20,$H$20,$J$20,$K$20,$L$20,$C$2,$N$20,$Q59)</f>
        <v>#VALUE!</v>
      </c>
      <c r="AS59" s="7" t="e">
        <f>StepperPower($F$21,$G$21,$H$21,$J$21,$K$21,$L$21,$C$2,$N$21,$Q59)</f>
        <v>#VALUE!</v>
      </c>
      <c r="AT59" s="7" t="e">
        <f>StepperPower($F$22,$G$22,$H$22,$J$22,$K$22,$L$22,$C$2,$N$22,$Q59)</f>
        <v>#VALUE!</v>
      </c>
      <c r="AU59" s="7" t="e">
        <f>StepperPower($F$23,$G$23,$H$23,$J$23,$K$23,$L$23,$C$2,$N$23,$Q59)</f>
        <v>#VALUE!</v>
      </c>
      <c r="AV59" s="7" t="e">
        <f>StepperPower($F$24,$G$24,$H$24,$J$24,$K$24,$L$24,$C$2,$N$24,$Q59)</f>
        <v>#VALUE!</v>
      </c>
      <c r="AW59" s="7" t="e">
        <f>StepperPower($F$25,$G$25,$H$25,$J$25,$K$25,$L$25,$C$2,$N$25,$Q59)</f>
        <v>#VALUE!</v>
      </c>
      <c r="AX59" s="7" t="e">
        <f>StepperPower($F$26,$G$26,$H$26,$J$26,$K$26,$L$26,$C$2,$N$26,$Q59)</f>
        <v>#VALUE!</v>
      </c>
      <c r="AY59" s="7" t="e">
        <f>StepperPower($F$27,$G$27,$H$27,$J$27,$K$27,$L$27,$C$2,$N$27,$Q59)</f>
        <v>#VALUE!</v>
      </c>
      <c r="AZ59" s="7" t="e">
        <f>StepperPower($F$28,$G$28,$H$28,$J$28,$K$28,$L$28,$C$2,$N$28,$Q59)</f>
        <v>#VALUE!</v>
      </c>
      <c r="BA59" s="7" t="e">
        <f>StepperPower($F$29,$G$29,$H$29,$J$29,$K$29,$L$29,$C$2,$N$29,$Q59)</f>
        <v>#VALUE!</v>
      </c>
      <c r="BB59" s="7" t="e">
        <f>StepperPower($F$30,$G$30,$H$30,$J$30,$K$30,$L$30,$C$2,$N$30,$Q59)</f>
        <v>#VALUE!</v>
      </c>
      <c r="BC59" s="7"/>
    </row>
    <row r="60" spans="3:55" x14ac:dyDescent="0.25">
      <c r="Q60">
        <f t="shared" si="3"/>
        <v>28.5</v>
      </c>
      <c r="R60">
        <f t="shared" si="6"/>
        <v>1140</v>
      </c>
      <c r="T60" s="7" cm="1">
        <f t="array" aca="1" ref="T60" ca="1">(_xlfn.SINGLE(SingleCoilTorque($F$15,$G$15,IF($I$15="",$H$15,INDEX(INDIRECT(_xlfn.CONCAT($I$15,"[Torque]")),MATCH(MIN(ABS(INDIRECT(_xlfn.CONCAT($I$15,"[RPM]"))-$R60*60/2/$C$6)),ABS(INDIRECT(_xlfn.CONCAT($I$15,"[RPM]"))-$R60*60/2/$C$6),0))*100),$J$15,$K$15,$L$15,$C$2,$N$15,$Q60))-$O$15)*$C$8</f>
        <v>12.722630747529221</v>
      </c>
      <c r="U60" s="7" cm="1">
        <f t="array" aca="1" ref="U60" ca="1">(_xlfn.SINGLE(SingleCoilTorque($F$16,$G$16,IF($I$16="",$H$16,INDEX(INDIRECT(_xlfn.CONCAT($I$16,"[Torque]")),MATCH(MIN(ABS(INDIRECT(_xlfn.CONCAT($I$16,"[RPM]"))-$R60*60/2/$C$6)),ABS(INDIRECT(_xlfn.CONCAT($I$16,"[RPM]"))-$R60*60/2/$C$6),0))*100),$J$16,$K$16,$L$16,$C$2,$N$16,$Q60))-$O$16)*$C$8</f>
        <v>20.207729755296629</v>
      </c>
      <c r="V60" s="7" cm="1">
        <f t="array" aca="1" ref="V60" ca="1">(_xlfn.SINGLE(SingleCoilTorque($F$17,$G$17,IF($I$17="",$H$17,INDEX(INDIRECT(_xlfn.CONCAT($I$17,"[Torque]")),MATCH(MIN(ABS(INDIRECT(_xlfn.CONCAT($I$17,"[RPM]"))-$R60*60/2/$C$6)),ABS(INDIRECT(_xlfn.CONCAT($I$17,"[RPM]"))-$R60*60/2/$C$6),0))*100),$J$17,$K$17,$L$17,$C$2,$N$17,$Q60))-$O$17)*$C$8</f>
        <v>5.804486229858921</v>
      </c>
      <c r="W60" s="7" t="e" cm="1">
        <f t="array" aca="1" ref="W60" ca="1">(_xlfn.SINGLE(SingleCoilTorque($F$18,$G$18,IF($I$18="",$H$18,INDEX(INDIRECT(_xlfn.CONCAT($I$18,"[Torque]")),MATCH(MIN(ABS(INDIRECT(_xlfn.CONCAT($I$18,"[RPM]"))-$R60*60/2/$C$6)),ABS(INDIRECT(_xlfn.CONCAT($I$18,"[RPM]"))-$R60*60/2/$C$6),0))*100),$J$18,$K$18,$L$18,$C$2,$N$18,$Q60))-$O$18)*$C$8</f>
        <v>#VALUE!</v>
      </c>
      <c r="X60" s="7" t="e" cm="1">
        <f t="array" aca="1" ref="X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Y60" s="7" t="e" cm="1">
        <f t="array" aca="1" ref="Y60" ca="1">(_xlfn.SINGLE(SingleCoilTorque($F$20,$G$20,IF($I$20="",$H$20,INDEX(INDIRECT(_xlfn.CONCAT($I$20,"[Torque]")),MATCH(MIN(ABS(INDIRECT(_xlfn.CONCAT($I$20,"[RPM]"))-$R60*60/2/$C$6)),ABS(INDIRECT(_xlfn.CONCAT($I$20,"[RPM]"))-$R60*60/2/$C$6),0))*100),$J$20,$K$20,$L$20,$C$2,$N$20,$Q60))-$O$20)*$C$8</f>
        <v>#VALUE!</v>
      </c>
      <c r="Z60" s="7" t="e" cm="1">
        <f t="array" aca="1" ref="Z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A60" s="7" t="e" cm="1">
        <f t="array" aca="1" ref="AA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B60" s="7" t="e" cm="1">
        <f t="array" aca="1" ref="AB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C60" s="7" t="e" cm="1">
        <f t="array" aca="1" ref="AC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D60" s="7" t="e" cm="1">
        <f t="array" aca="1" ref="AD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E60" s="7" t="e" cm="1">
        <f t="array" aca="1" ref="AE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F60" s="7" t="e" cm="1">
        <f t="array" aca="1" ref="AF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G60" s="7" t="e" cm="1">
        <f t="array" aca="1" ref="AG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H60" s="7" t="e" cm="1">
        <f t="array" aca="1" ref="AH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I60" s="7" t="e" cm="1">
        <f t="array" aca="1" ref="AI60" ca="1">(_xlfn.SINGLE(SingleCoilTorque($F$19,$G$19,IF($I$19="",$H$19,INDEX(INDIRECT(_xlfn.CONCAT($I$19,"[Torque]")),MATCH(MIN(ABS(INDIRECT(_xlfn.CONCAT($I$19,"[RPM]"))-$R60*60/2/$C$6)),ABS(INDIRECT(_xlfn.CONCAT($I$19,"[RPM]"))-$R60*60/2/$C$6),0))*100),$J$19,$K$19,$L$19,$C$2,$N$19,$Q60))-$O$19)*$C$8</f>
        <v>#VALUE!</v>
      </c>
      <c r="AJ60" s="7">
        <f t="shared" si="7"/>
        <v>23.8732414637843</v>
      </c>
      <c r="AL60">
        <f t="shared" si="2"/>
        <v>1140</v>
      </c>
      <c r="AM60" s="7">
        <f>StepperPower($F$15,$G$15,$H$15,$J$15,$K$15,$L$15,$C$2,$N$15,$Q60)</f>
        <v>32.218733946938372</v>
      </c>
      <c r="AN60" s="7">
        <f>StepperPower($F$16,$G$16,$H$16,$J$16,$K$16,$L$16,$C$2,$N$16,$Q60)</f>
        <v>36.351123347928954</v>
      </c>
      <c r="AO60" s="7">
        <f>StepperPower($F$17,$G$17,$H$17,$J$17,$K$17,$L$17,$C$2,$N$17,$Q60)</f>
        <v>13.582538239739863</v>
      </c>
      <c r="AP60" s="7" t="e">
        <f>StepperPower($F$18,$G$18,$H$18,$J$18,$K$18,$L$18,$C$2,$N$18,$Q60)</f>
        <v>#VALUE!</v>
      </c>
      <c r="AQ60" s="7" t="e">
        <f>StepperPower($F$19,$G$19,$H$19,$J$19,$K$19,$L$19,$C$2,$N$19,$Q60)</f>
        <v>#VALUE!</v>
      </c>
      <c r="AR60" s="7" t="e">
        <f>StepperPower($F$20,$G$20,$H$20,$J$20,$K$20,$L$20,$C$2,$N$20,$Q60)</f>
        <v>#VALUE!</v>
      </c>
      <c r="AS60" s="7" t="e">
        <f>StepperPower($F$21,$G$21,$H$21,$J$21,$K$21,$L$21,$C$2,$N$21,$Q60)</f>
        <v>#VALUE!</v>
      </c>
      <c r="AT60" s="7" t="e">
        <f>StepperPower($F$22,$G$22,$H$22,$J$22,$K$22,$L$22,$C$2,$N$22,$Q60)</f>
        <v>#VALUE!</v>
      </c>
      <c r="AU60" s="7" t="e">
        <f>StepperPower($F$23,$G$23,$H$23,$J$23,$K$23,$L$23,$C$2,$N$23,$Q60)</f>
        <v>#VALUE!</v>
      </c>
      <c r="AV60" s="7" t="e">
        <f>StepperPower($F$24,$G$24,$H$24,$J$24,$K$24,$L$24,$C$2,$N$24,$Q60)</f>
        <v>#VALUE!</v>
      </c>
      <c r="AW60" s="7" t="e">
        <f>StepperPower($F$25,$G$25,$H$25,$J$25,$K$25,$L$25,$C$2,$N$25,$Q60)</f>
        <v>#VALUE!</v>
      </c>
      <c r="AX60" s="7" t="e">
        <f>StepperPower($F$26,$G$26,$H$26,$J$26,$K$26,$L$26,$C$2,$N$26,$Q60)</f>
        <v>#VALUE!</v>
      </c>
      <c r="AY60" s="7" t="e">
        <f>StepperPower($F$27,$G$27,$H$27,$J$27,$K$27,$L$27,$C$2,$N$27,$Q60)</f>
        <v>#VALUE!</v>
      </c>
      <c r="AZ60" s="7" t="e">
        <f>StepperPower($F$28,$G$28,$H$28,$J$28,$K$28,$L$28,$C$2,$N$28,$Q60)</f>
        <v>#VALUE!</v>
      </c>
      <c r="BA60" s="7" t="e">
        <f>StepperPower($F$29,$G$29,$H$29,$J$29,$K$29,$L$29,$C$2,$N$29,$Q60)</f>
        <v>#VALUE!</v>
      </c>
      <c r="BB60" s="7" t="e">
        <f>StepperPower($F$30,$G$30,$H$30,$J$30,$K$30,$L$30,$C$2,$N$30,$Q60)</f>
        <v>#VALUE!</v>
      </c>
      <c r="BC60" s="7"/>
    </row>
    <row r="61" spans="3:55" x14ac:dyDescent="0.25">
      <c r="Q61">
        <f t="shared" si="3"/>
        <v>29</v>
      </c>
      <c r="R61">
        <f t="shared" si="6"/>
        <v>1160</v>
      </c>
      <c r="T61" s="7" cm="1">
        <f t="array" aca="1" ref="T61" ca="1">(_xlfn.SINGLE(SingleCoilTorque($F$15,$G$15,IF($I$15="",$H$15,INDEX(INDIRECT(_xlfn.CONCAT($I$15,"[Torque]")),MATCH(MIN(ABS(INDIRECT(_xlfn.CONCAT($I$15,"[RPM]"))-$R61*60/2/$C$6)),ABS(INDIRECT(_xlfn.CONCAT($I$15,"[RPM]"))-$R61*60/2/$C$6),0))*100),$J$15,$K$15,$L$15,$C$2,$N$15,$Q61))-$O$15)*$C$8</f>
        <v>12.167923566418416</v>
      </c>
      <c r="U61" s="7" cm="1">
        <f t="array" aca="1" ref="U61" ca="1">(_xlfn.SINGLE(SingleCoilTorque($F$16,$G$16,IF($I$16="",$H$16,INDEX(INDIRECT(_xlfn.CONCAT($I$16,"[Torque]")),MATCH(MIN(ABS(INDIRECT(_xlfn.CONCAT($I$16,"[RPM]"))-$R61*60/2/$C$6)),ABS(INDIRECT(_xlfn.CONCAT($I$16,"[RPM]"))-$R61*60/2/$C$6),0))*100),$J$16,$K$16,$L$16,$C$2,$N$16,$Q61))-$O$16)*$C$8</f>
        <v>19.498748062859722</v>
      </c>
      <c r="V61" s="7" cm="1">
        <f t="array" aca="1" ref="V61" ca="1">(_xlfn.SINGLE(SingleCoilTorque($F$17,$G$17,IF($I$17="",$H$17,INDEX(INDIRECT(_xlfn.CONCAT($I$17,"[Torque]")),MATCH(MIN(ABS(INDIRECT(_xlfn.CONCAT($I$17,"[RPM]"))-$R61*60/2/$C$6)),ABS(INDIRECT(_xlfn.CONCAT($I$17,"[RPM]"))-$R61*60/2/$C$6),0))*100),$J$17,$K$17,$L$17,$C$2,$N$17,$Q61))-$O$17)*$C$8</f>
        <v>5.3277888436331411</v>
      </c>
      <c r="W61" s="7" t="e" cm="1">
        <f t="array" aca="1" ref="W61" ca="1">(_xlfn.SINGLE(SingleCoilTorque($F$18,$G$18,IF($I$18="",$H$18,INDEX(INDIRECT(_xlfn.CONCAT($I$18,"[Torque]")),MATCH(MIN(ABS(INDIRECT(_xlfn.CONCAT($I$18,"[RPM]"))-$R61*60/2/$C$6)),ABS(INDIRECT(_xlfn.CONCAT($I$18,"[RPM]"))-$R61*60/2/$C$6),0))*100),$J$18,$K$18,$L$18,$C$2,$N$18,$Q61))-$O$18)*$C$8</f>
        <v>#VALUE!</v>
      </c>
      <c r="X61" s="7" t="e" cm="1">
        <f t="array" aca="1" ref="X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Y61" s="7" t="e" cm="1">
        <f t="array" aca="1" ref="Y61" ca="1">(_xlfn.SINGLE(SingleCoilTorque($F$20,$G$20,IF($I$20="",$H$20,INDEX(INDIRECT(_xlfn.CONCAT($I$20,"[Torque]")),MATCH(MIN(ABS(INDIRECT(_xlfn.CONCAT($I$20,"[RPM]"))-$R61*60/2/$C$6)),ABS(INDIRECT(_xlfn.CONCAT($I$20,"[RPM]"))-$R61*60/2/$C$6),0))*100),$J$20,$K$20,$L$20,$C$2,$N$20,$Q61))-$O$20)*$C$8</f>
        <v>#VALUE!</v>
      </c>
      <c r="Z61" s="7" t="e" cm="1">
        <f t="array" aca="1" ref="Z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A61" s="7" t="e" cm="1">
        <f t="array" aca="1" ref="AA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B61" s="7" t="e" cm="1">
        <f t="array" aca="1" ref="AB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C61" s="7" t="e" cm="1">
        <f t="array" aca="1" ref="AC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D61" s="7" t="e" cm="1">
        <f t="array" aca="1" ref="AD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E61" s="7" t="e" cm="1">
        <f t="array" aca="1" ref="AE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F61" s="7" t="e" cm="1">
        <f t="array" aca="1" ref="AF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G61" s="7" t="e" cm="1">
        <f t="array" aca="1" ref="AG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H61" s="7" t="e" cm="1">
        <f t="array" aca="1" ref="AH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I61" s="7" t="e" cm="1">
        <f t="array" aca="1" ref="AI61" ca="1">(_xlfn.SINGLE(SingleCoilTorque($F$19,$G$19,IF($I$19="",$H$19,INDEX(INDIRECT(_xlfn.CONCAT($I$19,"[Torque]")),MATCH(MIN(ABS(INDIRECT(_xlfn.CONCAT($I$19,"[RPM]"))-$R61*60/2/$C$6)),ABS(INDIRECT(_xlfn.CONCAT($I$19,"[RPM]"))-$R61*60/2/$C$6),0))*100),$J$19,$K$19,$L$19,$C$2,$N$19,$Q61))-$O$19)*$C$8</f>
        <v>#VALUE!</v>
      </c>
      <c r="AJ61" s="7">
        <f t="shared" si="7"/>
        <v>23.8732414637843</v>
      </c>
      <c r="AL61">
        <f t="shared" si="2"/>
        <v>1160</v>
      </c>
      <c r="AM61" s="7">
        <f>StepperPower($F$15,$G$15,$H$15,$J$15,$K$15,$L$15,$C$2,$N$15,$Q61)</f>
        <v>30.85142556665647</v>
      </c>
      <c r="AN61" s="7">
        <f>StepperPower($F$16,$G$16,$H$16,$J$16,$K$16,$L$16,$C$2,$N$16,$Q61)</f>
        <v>35.213230512429959</v>
      </c>
      <c r="AO61" s="7">
        <f>StepperPower($F$17,$G$17,$H$17,$J$17,$K$17,$L$17,$C$2,$N$17,$Q61)</f>
        <v>12.287755758444883</v>
      </c>
      <c r="AP61" s="7" t="e">
        <f>StepperPower($F$18,$G$18,$H$18,$J$18,$K$18,$L$18,$C$2,$N$18,$Q61)</f>
        <v>#VALUE!</v>
      </c>
      <c r="AQ61" s="7" t="e">
        <f>StepperPower($F$19,$G$19,$H$19,$J$19,$K$19,$L$19,$C$2,$N$19,$Q61)</f>
        <v>#VALUE!</v>
      </c>
      <c r="AR61" s="7" t="e">
        <f>StepperPower($F$20,$G$20,$H$20,$J$20,$K$20,$L$20,$C$2,$N$20,$Q61)</f>
        <v>#VALUE!</v>
      </c>
      <c r="AS61" s="7" t="e">
        <f>StepperPower($F$21,$G$21,$H$21,$J$21,$K$21,$L$21,$C$2,$N$21,$Q61)</f>
        <v>#VALUE!</v>
      </c>
      <c r="AT61" s="7" t="e">
        <f>StepperPower($F$22,$G$22,$H$22,$J$22,$K$22,$L$22,$C$2,$N$22,$Q61)</f>
        <v>#VALUE!</v>
      </c>
      <c r="AU61" s="7" t="e">
        <f>StepperPower($F$23,$G$23,$H$23,$J$23,$K$23,$L$23,$C$2,$N$23,$Q61)</f>
        <v>#VALUE!</v>
      </c>
      <c r="AV61" s="7" t="e">
        <f>StepperPower($F$24,$G$24,$H$24,$J$24,$K$24,$L$24,$C$2,$N$24,$Q61)</f>
        <v>#VALUE!</v>
      </c>
      <c r="AW61" s="7" t="e">
        <f>StepperPower($F$25,$G$25,$H$25,$J$25,$K$25,$L$25,$C$2,$N$25,$Q61)</f>
        <v>#VALUE!</v>
      </c>
      <c r="AX61" s="7" t="e">
        <f>StepperPower($F$26,$G$26,$H$26,$J$26,$K$26,$L$26,$C$2,$N$26,$Q61)</f>
        <v>#VALUE!</v>
      </c>
      <c r="AY61" s="7" t="e">
        <f>StepperPower($F$27,$G$27,$H$27,$J$27,$K$27,$L$27,$C$2,$N$27,$Q61)</f>
        <v>#VALUE!</v>
      </c>
      <c r="AZ61" s="7" t="e">
        <f>StepperPower($F$28,$G$28,$H$28,$J$28,$K$28,$L$28,$C$2,$N$28,$Q61)</f>
        <v>#VALUE!</v>
      </c>
      <c r="BA61" s="7" t="e">
        <f>StepperPower($F$29,$G$29,$H$29,$J$29,$K$29,$L$29,$C$2,$N$29,$Q61)</f>
        <v>#VALUE!</v>
      </c>
      <c r="BB61" s="7" t="e">
        <f>StepperPower($F$30,$G$30,$H$30,$J$30,$K$30,$L$30,$C$2,$N$30,$Q61)</f>
        <v>#VALUE!</v>
      </c>
      <c r="BC61" s="7"/>
    </row>
    <row r="62" spans="3:55" x14ac:dyDescent="0.25">
      <c r="Q62">
        <f t="shared" si="3"/>
        <v>29.5</v>
      </c>
      <c r="R62">
        <f t="shared" si="6"/>
        <v>1180</v>
      </c>
      <c r="T62" s="7" cm="1">
        <f t="array" aca="1" ref="T62" ca="1">(_xlfn.SINGLE(SingleCoilTorque($F$15,$G$15,IF($I$15="",$H$15,INDEX(INDIRECT(_xlfn.CONCAT($I$15,"[Torque]")),MATCH(MIN(ABS(INDIRECT(_xlfn.CONCAT($I$15,"[RPM]"))-$R62*60/2/$C$6)),ABS(INDIRECT(_xlfn.CONCAT($I$15,"[RPM]"))-$R62*60/2/$C$6),0))*100),$J$15,$K$15,$L$15,$C$2,$N$15,$Q62))-$O$15)*$C$8</f>
        <v>11.630832011500971</v>
      </c>
      <c r="U62" s="7" cm="1">
        <f t="array" aca="1" ref="U62" ca="1">(_xlfn.SINGLE(SingleCoilTorque($F$16,$G$16,IF($I$16="",$H$16,INDEX(INDIRECT(_xlfn.CONCAT($I$16,"[Torque]")),MATCH(MIN(ABS(INDIRECT(_xlfn.CONCAT($I$16,"[RPM]"))-$R62*60/2/$C$6)),ABS(INDIRECT(_xlfn.CONCAT($I$16,"[RPM]"))-$R62*60/2/$C$6),0))*100),$J$16,$K$16,$L$16,$C$2,$N$16,$Q62))-$O$16)*$C$8</f>
        <v>18.321331252276781</v>
      </c>
      <c r="V62" s="7" cm="1">
        <f t="array" aca="1" ref="V62" ca="1">(_xlfn.SINGLE(SingleCoilTorque($F$17,$G$17,IF($I$17="",$H$17,INDEX(INDIRECT(_xlfn.CONCAT($I$17,"[Torque]")),MATCH(MIN(ABS(INDIRECT(_xlfn.CONCAT($I$17,"[RPM]"))-$R62*60/2/$C$6)),ABS(INDIRECT(_xlfn.CONCAT($I$17,"[RPM]"))-$R62*60/2/$C$6),0))*100),$J$17,$K$17,$L$17,$C$2,$N$17,$Q62))-$O$17)*$C$8</f>
        <v>4.3450925725566183</v>
      </c>
      <c r="W62" s="7" t="e" cm="1">
        <f t="array" aca="1" ref="W62" ca="1">(_xlfn.SINGLE(SingleCoilTorque($F$18,$G$18,IF($I$18="",$H$18,INDEX(INDIRECT(_xlfn.CONCAT($I$18,"[Torque]")),MATCH(MIN(ABS(INDIRECT(_xlfn.CONCAT($I$18,"[RPM]"))-$R62*60/2/$C$6)),ABS(INDIRECT(_xlfn.CONCAT($I$18,"[RPM]"))-$R62*60/2/$C$6),0))*100),$J$18,$K$18,$L$18,$C$2,$N$18,$Q62))-$O$18)*$C$8</f>
        <v>#VALUE!</v>
      </c>
      <c r="X62" s="7" t="e" cm="1">
        <f t="array" aca="1" ref="X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Y62" s="7" t="e" cm="1">
        <f t="array" aca="1" ref="Y62" ca="1">(_xlfn.SINGLE(SingleCoilTorque($F$20,$G$20,IF($I$20="",$H$20,INDEX(INDIRECT(_xlfn.CONCAT($I$20,"[Torque]")),MATCH(MIN(ABS(INDIRECT(_xlfn.CONCAT($I$20,"[RPM]"))-$R62*60/2/$C$6)),ABS(INDIRECT(_xlfn.CONCAT($I$20,"[RPM]"))-$R62*60/2/$C$6),0))*100),$J$20,$K$20,$L$20,$C$2,$N$20,$Q62))-$O$20)*$C$8</f>
        <v>#VALUE!</v>
      </c>
      <c r="Z62" s="7" t="e" cm="1">
        <f t="array" aca="1" ref="Z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A62" s="7" t="e" cm="1">
        <f t="array" aca="1" ref="AA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B62" s="7" t="e" cm="1">
        <f t="array" aca="1" ref="AB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C62" s="7" t="e" cm="1">
        <f t="array" aca="1" ref="AC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D62" s="7" t="e" cm="1">
        <f t="array" aca="1" ref="AD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E62" s="7" t="e" cm="1">
        <f t="array" aca="1" ref="AE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F62" s="7" t="e" cm="1">
        <f t="array" aca="1" ref="AF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G62" s="7" t="e" cm="1">
        <f t="array" aca="1" ref="AG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H62" s="7" t="e" cm="1">
        <f t="array" aca="1" ref="AH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I62" s="7" t="e" cm="1">
        <f t="array" aca="1" ref="AI62" ca="1">(_xlfn.SINGLE(SingleCoilTorque($F$19,$G$19,IF($I$19="",$H$19,INDEX(INDIRECT(_xlfn.CONCAT($I$19,"[Torque]")),MATCH(MIN(ABS(INDIRECT(_xlfn.CONCAT($I$19,"[RPM]"))-$R62*60/2/$C$6)),ABS(INDIRECT(_xlfn.CONCAT($I$19,"[RPM]"))-$R62*60/2/$C$6),0))*100),$J$19,$K$19,$L$19,$C$2,$N$19,$Q62))-$O$19)*$C$8</f>
        <v>#VALUE!</v>
      </c>
      <c r="AJ62" s="7">
        <f t="shared" si="7"/>
        <v>23.8732414637843</v>
      </c>
      <c r="AL62">
        <f t="shared" si="2"/>
        <v>1180</v>
      </c>
      <c r="AM62" s="7">
        <f>StepperPower($F$15,$G$15,$H$15,$J$15,$K$15,$L$15,$C$2,$N$15,$Q62)</f>
        <v>29.4885421461357</v>
      </c>
      <c r="AN62" s="7">
        <f>StepperPower($F$16,$G$16,$H$16,$J$16,$K$16,$L$16,$C$2,$N$16,$Q62)</f>
        <v>34.080407589202949</v>
      </c>
      <c r="AO62" s="7">
        <f>StepperPower($F$17,$G$17,$H$17,$J$17,$K$17,$L$17,$C$2,$N$17,$Q62)</f>
        <v>10.994027812925033</v>
      </c>
      <c r="AP62" s="7" t="e">
        <f>StepperPower($F$18,$G$18,$H$18,$J$18,$K$18,$L$18,$C$2,$N$18,$Q62)</f>
        <v>#VALUE!</v>
      </c>
      <c r="AQ62" s="7" t="e">
        <f>StepperPower($F$19,$G$19,$H$19,$J$19,$K$19,$L$19,$C$2,$N$19,$Q62)</f>
        <v>#VALUE!</v>
      </c>
      <c r="AR62" s="7" t="e">
        <f>StepperPower($F$20,$G$20,$H$20,$J$20,$K$20,$L$20,$C$2,$N$20,$Q62)</f>
        <v>#VALUE!</v>
      </c>
      <c r="AS62" s="7" t="e">
        <f>StepperPower($F$21,$G$21,$H$21,$J$21,$K$21,$L$21,$C$2,$N$21,$Q62)</f>
        <v>#VALUE!</v>
      </c>
      <c r="AT62" s="7" t="e">
        <f>StepperPower($F$22,$G$22,$H$22,$J$22,$K$22,$L$22,$C$2,$N$22,$Q62)</f>
        <v>#VALUE!</v>
      </c>
      <c r="AU62" s="7" t="e">
        <f>StepperPower($F$23,$G$23,$H$23,$J$23,$K$23,$L$23,$C$2,$N$23,$Q62)</f>
        <v>#VALUE!</v>
      </c>
      <c r="AV62" s="7" t="e">
        <f>StepperPower($F$24,$G$24,$H$24,$J$24,$K$24,$L$24,$C$2,$N$24,$Q62)</f>
        <v>#VALUE!</v>
      </c>
      <c r="AW62" s="7" t="e">
        <f>StepperPower($F$25,$G$25,$H$25,$J$25,$K$25,$L$25,$C$2,$N$25,$Q62)</f>
        <v>#VALUE!</v>
      </c>
      <c r="AX62" s="7" t="e">
        <f>StepperPower($F$26,$G$26,$H$26,$J$26,$K$26,$L$26,$C$2,$N$26,$Q62)</f>
        <v>#VALUE!</v>
      </c>
      <c r="AY62" s="7" t="e">
        <f>StepperPower($F$27,$G$27,$H$27,$J$27,$K$27,$L$27,$C$2,$N$27,$Q62)</f>
        <v>#VALUE!</v>
      </c>
      <c r="AZ62" s="7" t="e">
        <f>StepperPower($F$28,$G$28,$H$28,$J$28,$K$28,$L$28,$C$2,$N$28,$Q62)</f>
        <v>#VALUE!</v>
      </c>
      <c r="BA62" s="7" t="e">
        <f>StepperPower($F$29,$G$29,$H$29,$J$29,$K$29,$L$29,$C$2,$N$29,$Q62)</f>
        <v>#VALUE!</v>
      </c>
      <c r="BB62" s="7" t="e">
        <f>StepperPower($F$30,$G$30,$H$30,$J$30,$K$30,$L$30,$C$2,$N$30,$Q62)</f>
        <v>#VALUE!</v>
      </c>
      <c r="BC62" s="7"/>
    </row>
    <row r="63" spans="3:55" x14ac:dyDescent="0.25">
      <c r="Q63">
        <f t="shared" si="3"/>
        <v>30</v>
      </c>
      <c r="R63">
        <f t="shared" si="6"/>
        <v>1200</v>
      </c>
      <c r="T63" s="7" cm="1">
        <f t="array" aca="1" ref="T63" ca="1">(_xlfn.SINGLE(SingleCoilTorque($F$15,$G$15,IF($I$15="",$H$15,INDEX(INDIRECT(_xlfn.CONCAT($I$15,"[Torque]")),MATCH(MIN(ABS(INDIRECT(_xlfn.CONCAT($I$15,"[RPM]"))-$R63*60/2/$C$6)),ABS(INDIRECT(_xlfn.CONCAT($I$15,"[RPM]"))-$R63*60/2/$C$6),0))*100),$J$15,$K$15,$L$15,$C$2,$N$15,$Q63))-$O$15)*$C$8</f>
        <v>11.110530079149573</v>
      </c>
      <c r="U63" s="7" cm="1">
        <f t="array" aca="1" ref="U63" ca="1">(_xlfn.SINGLE(SingleCoilTorque($F$16,$G$16,IF($I$16="",$H$16,INDEX(INDIRECT(_xlfn.CONCAT($I$16,"[Torque]")),MATCH(MIN(ABS(INDIRECT(_xlfn.CONCAT($I$16,"[RPM]"))-$R63*60/2/$C$6)),ABS(INDIRECT(_xlfn.CONCAT($I$16,"[RPM]"))-$R63*60/2/$C$6),0))*100),$J$16,$K$16,$L$16,$C$2,$N$16,$Q63))-$O$16)*$C$8</f>
        <v>17.679172052807356</v>
      </c>
      <c r="V63" s="7" cm="1">
        <f t="array" aca="1" ref="V63" ca="1">(_xlfn.SINGLE(SingleCoilTorque($F$17,$G$17,IF($I$17="",$H$17,INDEX(INDIRECT(_xlfn.CONCAT($I$17,"[Torque]")),MATCH(MIN(ABS(INDIRECT(_xlfn.CONCAT($I$17,"[RPM]"))-$R63*60/2/$C$6)),ABS(INDIRECT(_xlfn.CONCAT($I$17,"[RPM]"))-$R63*60/2/$C$6),0))*100),$J$17,$K$17,$L$17,$C$2,$N$17,$Q63))-$O$17)*$C$8</f>
        <v>3.9215943054229569</v>
      </c>
      <c r="W63" s="7" t="e" cm="1">
        <f t="array" aca="1" ref="W63" ca="1">(_xlfn.SINGLE(SingleCoilTorque($F$18,$G$18,IF($I$18="",$H$18,INDEX(INDIRECT(_xlfn.CONCAT($I$18,"[Torque]")),MATCH(MIN(ABS(INDIRECT(_xlfn.CONCAT($I$18,"[RPM]"))-$R63*60/2/$C$6)),ABS(INDIRECT(_xlfn.CONCAT($I$18,"[RPM]"))-$R63*60/2/$C$6),0))*100),$J$18,$K$18,$L$18,$C$2,$N$18,$Q63))-$O$18)*$C$8</f>
        <v>#VALUE!</v>
      </c>
      <c r="X63" s="7" t="e" cm="1">
        <f t="array" aca="1" ref="X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Y63" s="7" t="e" cm="1">
        <f t="array" aca="1" ref="Y63" ca="1">(_xlfn.SINGLE(SingleCoilTorque($F$20,$G$20,IF($I$20="",$H$20,INDEX(INDIRECT(_xlfn.CONCAT($I$20,"[Torque]")),MATCH(MIN(ABS(INDIRECT(_xlfn.CONCAT($I$20,"[RPM]"))-$R63*60/2/$C$6)),ABS(INDIRECT(_xlfn.CONCAT($I$20,"[RPM]"))-$R63*60/2/$C$6),0))*100),$J$20,$K$20,$L$20,$C$2,$N$20,$Q63))-$O$20)*$C$8</f>
        <v>#VALUE!</v>
      </c>
      <c r="Z63" s="7" t="e" cm="1">
        <f t="array" aca="1" ref="Z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A63" s="7" t="e" cm="1">
        <f t="array" aca="1" ref="AA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B63" s="7" t="e" cm="1">
        <f t="array" aca="1" ref="AB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C63" s="7" t="e" cm="1">
        <f t="array" aca="1" ref="AC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D63" s="7" t="e" cm="1">
        <f t="array" aca="1" ref="AD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E63" s="7" t="e" cm="1">
        <f t="array" aca="1" ref="AE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F63" s="7" t="e" cm="1">
        <f t="array" aca="1" ref="AF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G63" s="7" t="e" cm="1">
        <f t="array" aca="1" ref="AG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H63" s="7" t="e" cm="1">
        <f t="array" aca="1" ref="AH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I63" s="7" t="e" cm="1">
        <f t="array" aca="1" ref="AI63" ca="1">(_xlfn.SINGLE(SingleCoilTorque($F$19,$G$19,IF($I$19="",$H$19,INDEX(INDIRECT(_xlfn.CONCAT($I$19,"[Torque]")),MATCH(MIN(ABS(INDIRECT(_xlfn.CONCAT($I$19,"[RPM]"))-$R63*60/2/$C$6)),ABS(INDIRECT(_xlfn.CONCAT($I$19,"[RPM]"))-$R63*60/2/$C$6),0))*100),$J$19,$K$19,$L$19,$C$2,$N$19,$Q63))-$O$19)*$C$8</f>
        <v>#VALUE!</v>
      </c>
      <c r="AJ63" s="7">
        <f t="shared" si="7"/>
        <v>23.8732414637843</v>
      </c>
      <c r="AL63">
        <f t="shared" si="2"/>
        <v>1200</v>
      </c>
      <c r="AM63" s="7">
        <f>StepperPower($F$15,$G$15,$H$15,$J$15,$K$15,$L$15,$C$2,$N$15,$Q63)</f>
        <v>28.129628951903232</v>
      </c>
      <c r="AN63" s="7">
        <f>StepperPower($F$16,$G$16,$H$16,$J$16,$K$16,$L$16,$C$2,$N$16,$Q63)</f>
        <v>32.952189717196447</v>
      </c>
      <c r="AO63" s="7">
        <f>StepperPower($F$17,$G$17,$H$17,$J$17,$K$17,$L$17,$C$2,$N$17,$Q63)</f>
        <v>9.7011839147336172</v>
      </c>
      <c r="AP63" s="7" t="e">
        <f>StepperPower($F$18,$G$18,$H$18,$J$18,$K$18,$L$18,$C$2,$N$18,$Q63)</f>
        <v>#VALUE!</v>
      </c>
      <c r="AQ63" s="7" t="e">
        <f>StepperPower($F$19,$G$19,$H$19,$J$19,$K$19,$L$19,$C$2,$N$19,$Q63)</f>
        <v>#VALUE!</v>
      </c>
      <c r="AR63" s="7" t="e">
        <f>StepperPower($F$20,$G$20,$H$20,$J$20,$K$20,$L$20,$C$2,$N$20,$Q63)</f>
        <v>#VALUE!</v>
      </c>
      <c r="AS63" s="7" t="e">
        <f>StepperPower($F$21,$G$21,$H$21,$J$21,$K$21,$L$21,$C$2,$N$21,$Q63)</f>
        <v>#VALUE!</v>
      </c>
      <c r="AT63" s="7" t="e">
        <f>StepperPower($F$22,$G$22,$H$22,$J$22,$K$22,$L$22,$C$2,$N$22,$Q63)</f>
        <v>#VALUE!</v>
      </c>
      <c r="AU63" s="7" t="e">
        <f>StepperPower($F$23,$G$23,$H$23,$J$23,$K$23,$L$23,$C$2,$N$23,$Q63)</f>
        <v>#VALUE!</v>
      </c>
      <c r="AV63" s="7" t="e">
        <f>StepperPower($F$24,$G$24,$H$24,$J$24,$K$24,$L$24,$C$2,$N$24,$Q63)</f>
        <v>#VALUE!</v>
      </c>
      <c r="AW63" s="7" t="e">
        <f>StepperPower($F$25,$G$25,$H$25,$J$25,$K$25,$L$25,$C$2,$N$25,$Q63)</f>
        <v>#VALUE!</v>
      </c>
      <c r="AX63" s="7" t="e">
        <f>StepperPower($F$26,$G$26,$H$26,$J$26,$K$26,$L$26,$C$2,$N$26,$Q63)</f>
        <v>#VALUE!</v>
      </c>
      <c r="AY63" s="7" t="e">
        <f>StepperPower($F$27,$G$27,$H$27,$J$27,$K$27,$L$27,$C$2,$N$27,$Q63)</f>
        <v>#VALUE!</v>
      </c>
      <c r="AZ63" s="7" t="e">
        <f>StepperPower($F$28,$G$28,$H$28,$J$28,$K$28,$L$28,$C$2,$N$28,$Q63)</f>
        <v>#VALUE!</v>
      </c>
      <c r="BA63" s="7" t="e">
        <f>StepperPower($F$29,$G$29,$H$29,$J$29,$K$29,$L$29,$C$2,$N$29,$Q63)</f>
        <v>#VALUE!</v>
      </c>
      <c r="BB63" s="7" t="e">
        <f>StepperPower($F$30,$G$30,$H$30,$J$30,$K$30,$L$30,$C$2,$N$30,$Q63)</f>
        <v>#VALUE!</v>
      </c>
      <c r="BC63" s="7"/>
    </row>
    <row r="64" spans="3:55" x14ac:dyDescent="0.25">
      <c r="Q64">
        <f t="shared" si="3"/>
        <v>30.5</v>
      </c>
      <c r="R64">
        <f t="shared" si="6"/>
        <v>1220</v>
      </c>
      <c r="T64" s="7" cm="1">
        <f t="array" aca="1" ref="T64" ca="1">(_xlfn.SINGLE(SingleCoilTorque($F$15,$G$15,IF($I$15="",$H$15,INDEX(INDIRECT(_xlfn.CONCAT($I$15,"[Torque]")),MATCH(MIN(ABS(INDIRECT(_xlfn.CONCAT($I$15,"[RPM]"))-$R64*60/2/$C$6)),ABS(INDIRECT(_xlfn.CONCAT($I$15,"[RPM]"))-$R64*60/2/$C$6),0))*100),$J$15,$K$15,$L$15,$C$2,$N$15,$Q64))-$O$15)*$C$8</f>
        <v>10.606242613164031</v>
      </c>
      <c r="U64" s="7" cm="1">
        <f t="array" aca="1" ref="U64" ca="1">(_xlfn.SINGLE(SingleCoilTorque($F$16,$G$16,IF($I$16="",$H$16,INDEX(INDIRECT(_xlfn.CONCAT($I$16,"[Torque]")),MATCH(MIN(ABS(INDIRECT(_xlfn.CONCAT($I$16,"[RPM]"))-$R64*60/2/$C$6)),ABS(INDIRECT(_xlfn.CONCAT($I$16,"[RPM]"))-$R64*60/2/$C$6),0))*100),$J$16,$K$16,$L$16,$C$2,$N$16,$Q64))-$O$16)*$C$8</f>
        <v>17.056899763924971</v>
      </c>
      <c r="V64" s="7" cm="1">
        <f t="array" aca="1" ref="V64" ca="1">(_xlfn.SINGLE(SingleCoilTorque($F$17,$G$17,IF($I$17="",$H$17,INDEX(INDIRECT(_xlfn.CONCAT($I$17,"[Torque]")),MATCH(MIN(ABS(INDIRECT(_xlfn.CONCAT($I$17,"[RPM]"))-$R64*60/2/$C$6)),ABS(INDIRECT(_xlfn.CONCAT($I$17,"[RPM]"))-$R64*60/2/$C$6),0))*100),$J$17,$K$17,$L$17,$C$2,$N$17,$Q64))-$O$17)*$C$8</f>
        <v>3.5114025760841887</v>
      </c>
      <c r="W64" s="7" t="e" cm="1">
        <f t="array" aca="1" ref="W64" ca="1">(_xlfn.SINGLE(SingleCoilTorque($F$18,$G$18,IF($I$18="",$H$18,INDEX(INDIRECT(_xlfn.CONCAT($I$18,"[Torque]")),MATCH(MIN(ABS(INDIRECT(_xlfn.CONCAT($I$18,"[RPM]"))-$R64*60/2/$C$6)),ABS(INDIRECT(_xlfn.CONCAT($I$18,"[RPM]"))-$R64*60/2/$C$6),0))*100),$J$18,$K$18,$L$18,$C$2,$N$18,$Q64))-$O$18)*$C$8</f>
        <v>#VALUE!</v>
      </c>
      <c r="X64" s="7" t="e" cm="1">
        <f t="array" aca="1" ref="X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Y64" s="7" t="e" cm="1">
        <f t="array" aca="1" ref="Y64" ca="1">(_xlfn.SINGLE(SingleCoilTorque($F$20,$G$20,IF($I$20="",$H$20,INDEX(INDIRECT(_xlfn.CONCAT($I$20,"[Torque]")),MATCH(MIN(ABS(INDIRECT(_xlfn.CONCAT($I$20,"[RPM]"))-$R64*60/2/$C$6)),ABS(INDIRECT(_xlfn.CONCAT($I$20,"[RPM]"))-$R64*60/2/$C$6),0))*100),$J$20,$K$20,$L$20,$C$2,$N$20,$Q64))-$O$20)*$C$8</f>
        <v>#VALUE!</v>
      </c>
      <c r="Z64" s="7" t="e" cm="1">
        <f t="array" aca="1" ref="Z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A64" s="7" t="e" cm="1">
        <f t="array" aca="1" ref="AA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B64" s="7" t="e" cm="1">
        <f t="array" aca="1" ref="AB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C64" s="7" t="e" cm="1">
        <f t="array" aca="1" ref="AC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D64" s="7" t="e" cm="1">
        <f t="array" aca="1" ref="AD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E64" s="7" t="e" cm="1">
        <f t="array" aca="1" ref="AE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F64" s="7" t="e" cm="1">
        <f t="array" aca="1" ref="AF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G64" s="7" t="e" cm="1">
        <f t="array" aca="1" ref="AG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H64" s="7" t="e" cm="1">
        <f t="array" aca="1" ref="AH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I64" s="7" t="e" cm="1">
        <f t="array" aca="1" ref="AI64" ca="1">(_xlfn.SINGLE(SingleCoilTorque($F$19,$G$19,IF($I$19="",$H$19,INDEX(INDIRECT(_xlfn.CONCAT($I$19,"[Torque]")),MATCH(MIN(ABS(INDIRECT(_xlfn.CONCAT($I$19,"[RPM]"))-$R64*60/2/$C$6)),ABS(INDIRECT(_xlfn.CONCAT($I$19,"[RPM]"))-$R64*60/2/$C$6),0))*100),$J$19,$K$19,$L$19,$C$2,$N$19,$Q64))-$O$19)*$C$8</f>
        <v>#VALUE!</v>
      </c>
      <c r="AJ64" s="7">
        <f t="shared" si="7"/>
        <v>23.8732414637843</v>
      </c>
      <c r="AL64">
        <f t="shared" si="2"/>
        <v>1220</v>
      </c>
      <c r="AM64" s="7">
        <f>StepperPower($F$15,$G$15,$H$15,$J$15,$K$15,$L$15,$C$2,$N$15,$Q64)</f>
        <v>26.77427422892162</v>
      </c>
      <c r="AN64" s="7">
        <f>StepperPower($F$16,$G$16,$H$16,$J$16,$K$16,$L$16,$C$2,$N$16,$Q64)</f>
        <v>31.82815458714671</v>
      </c>
      <c r="AO64" s="7">
        <f>StepperPower($F$17,$G$17,$H$17,$J$17,$K$17,$L$17,$C$2,$N$17,$Q64)</f>
        <v>8.4090717111857725</v>
      </c>
      <c r="AP64" s="7" t="e">
        <f>StepperPower($F$18,$G$18,$H$18,$J$18,$K$18,$L$18,$C$2,$N$18,$Q64)</f>
        <v>#VALUE!</v>
      </c>
      <c r="AQ64" s="7" t="e">
        <f>StepperPower($F$19,$G$19,$H$19,$J$19,$K$19,$L$19,$C$2,$N$19,$Q64)</f>
        <v>#VALUE!</v>
      </c>
      <c r="AR64" s="7" t="e">
        <f>StepperPower($F$20,$G$20,$H$20,$J$20,$K$20,$L$20,$C$2,$N$20,$Q64)</f>
        <v>#VALUE!</v>
      </c>
      <c r="AS64" s="7" t="e">
        <f>StepperPower($F$21,$G$21,$H$21,$J$21,$K$21,$L$21,$C$2,$N$21,$Q64)</f>
        <v>#VALUE!</v>
      </c>
      <c r="AT64" s="7" t="e">
        <f>StepperPower($F$22,$G$22,$H$22,$J$22,$K$22,$L$22,$C$2,$N$22,$Q64)</f>
        <v>#VALUE!</v>
      </c>
      <c r="AU64" s="7" t="e">
        <f>StepperPower($F$23,$G$23,$H$23,$J$23,$K$23,$L$23,$C$2,$N$23,$Q64)</f>
        <v>#VALUE!</v>
      </c>
      <c r="AV64" s="7" t="e">
        <f>StepperPower($F$24,$G$24,$H$24,$J$24,$K$24,$L$24,$C$2,$N$24,$Q64)</f>
        <v>#VALUE!</v>
      </c>
      <c r="AW64" s="7" t="e">
        <f>StepperPower($F$25,$G$25,$H$25,$J$25,$K$25,$L$25,$C$2,$N$25,$Q64)</f>
        <v>#VALUE!</v>
      </c>
      <c r="AX64" s="7" t="e">
        <f>StepperPower($F$26,$G$26,$H$26,$J$26,$K$26,$L$26,$C$2,$N$26,$Q64)</f>
        <v>#VALUE!</v>
      </c>
      <c r="AY64" s="7" t="e">
        <f>StepperPower($F$27,$G$27,$H$27,$J$27,$K$27,$L$27,$C$2,$N$27,$Q64)</f>
        <v>#VALUE!</v>
      </c>
      <c r="AZ64" s="7" t="e">
        <f>StepperPower($F$28,$G$28,$H$28,$J$28,$K$28,$L$28,$C$2,$N$28,$Q64)</f>
        <v>#VALUE!</v>
      </c>
      <c r="BA64" s="7" t="e">
        <f>StepperPower($F$29,$G$29,$H$29,$J$29,$K$29,$L$29,$C$2,$N$29,$Q64)</f>
        <v>#VALUE!</v>
      </c>
      <c r="BB64" s="7" t="e">
        <f>StepperPower($F$30,$G$30,$H$30,$J$30,$K$30,$L$30,$C$2,$N$30,$Q64)</f>
        <v>#VALUE!</v>
      </c>
      <c r="BC64" s="7"/>
    </row>
    <row r="65" spans="17:55" x14ac:dyDescent="0.25">
      <c r="Q65">
        <f t="shared" si="3"/>
        <v>31</v>
      </c>
      <c r="R65">
        <f t="shared" si="6"/>
        <v>1240</v>
      </c>
      <c r="T65" s="7" cm="1">
        <f t="array" aca="1" ref="T65" ca="1">(_xlfn.SINGLE(SingleCoilTorque($F$15,$G$15,IF($I$15="",$H$15,INDEX(INDIRECT(_xlfn.CONCAT($I$15,"[Torque]")),MATCH(MIN(ABS(INDIRECT(_xlfn.CONCAT($I$15,"[RPM]"))-$R65*60/2/$C$6)),ABS(INDIRECT(_xlfn.CONCAT($I$15,"[RPM]"))-$R65*60/2/$C$6),0))*100),$J$15,$K$15,$L$15,$C$2,$N$15,$Q65))-$O$15)*$C$8</f>
        <v>10.117241451466976</v>
      </c>
      <c r="U65" s="7" cm="1">
        <f t="array" aca="1" ref="U65" ca="1">(_xlfn.SINGLE(SingleCoilTorque($F$16,$G$16,IF($I$16="",$H$16,INDEX(INDIRECT(_xlfn.CONCAT($I$16,"[Torque]")),MATCH(MIN(ABS(INDIRECT(_xlfn.CONCAT($I$16,"[RPM]"))-$R65*60/2/$C$6)),ABS(INDIRECT(_xlfn.CONCAT($I$16,"[RPM]"))-$R65*60/2/$C$6),0))*100),$J$16,$K$16,$L$16,$C$2,$N$16,$Q65))-$O$16)*$C$8</f>
        <v>15.903140846815234</v>
      </c>
      <c r="V65" s="7" cm="1">
        <f t="array" aca="1" ref="V65" ca="1">(_xlfn.SINGLE(SingleCoilTorque($F$17,$G$17,IF($I$17="",$H$17,INDEX(INDIRECT(_xlfn.CONCAT($I$17,"[Torque]")),MATCH(MIN(ABS(INDIRECT(_xlfn.CONCAT($I$17,"[RPM]"))-$R65*60/2/$C$6)),ABS(INDIRECT(_xlfn.CONCAT($I$17,"[RPM]"))-$R65*60/2/$C$6),0))*100),$J$17,$K$17,$L$17,$C$2,$N$17,$Q65))-$O$17)*$C$8</f>
        <v>2.6132919616640322</v>
      </c>
      <c r="W65" s="7" t="e" cm="1">
        <f t="array" aca="1" ref="W65" ca="1">(_xlfn.SINGLE(SingleCoilTorque($F$18,$G$18,IF($I$18="",$H$18,INDEX(INDIRECT(_xlfn.CONCAT($I$18,"[Torque]")),MATCH(MIN(ABS(INDIRECT(_xlfn.CONCAT($I$18,"[RPM]"))-$R65*60/2/$C$6)),ABS(INDIRECT(_xlfn.CONCAT($I$18,"[RPM]"))-$R65*60/2/$C$6),0))*100),$J$18,$K$18,$L$18,$C$2,$N$18,$Q65))-$O$18)*$C$8</f>
        <v>#VALUE!</v>
      </c>
      <c r="X65" s="7" t="e" cm="1">
        <f t="array" aca="1" ref="X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Y65" s="7" t="e" cm="1">
        <f t="array" aca="1" ref="Y65" ca="1">(_xlfn.SINGLE(SingleCoilTorque($F$20,$G$20,IF($I$20="",$H$20,INDEX(INDIRECT(_xlfn.CONCAT($I$20,"[Torque]")),MATCH(MIN(ABS(INDIRECT(_xlfn.CONCAT($I$20,"[RPM]"))-$R65*60/2/$C$6)),ABS(INDIRECT(_xlfn.CONCAT($I$20,"[RPM]"))-$R65*60/2/$C$6),0))*100),$J$20,$K$20,$L$20,$C$2,$N$20,$Q65))-$O$20)*$C$8</f>
        <v>#VALUE!</v>
      </c>
      <c r="Z65" s="7" t="e" cm="1">
        <f t="array" aca="1" ref="Z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A65" s="7" t="e" cm="1">
        <f t="array" aca="1" ref="AA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B65" s="7" t="e" cm="1">
        <f t="array" aca="1" ref="AB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C65" s="7" t="e" cm="1">
        <f t="array" aca="1" ref="AC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D65" s="7" t="e" cm="1">
        <f t="array" aca="1" ref="AD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E65" s="7" t="e" cm="1">
        <f t="array" aca="1" ref="AE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F65" s="7" t="e" cm="1">
        <f t="array" aca="1" ref="AF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G65" s="7" t="e" cm="1">
        <f t="array" aca="1" ref="AG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H65" s="7" t="e" cm="1">
        <f t="array" aca="1" ref="AH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I65" s="7" t="e" cm="1">
        <f t="array" aca="1" ref="AI65" ca="1">(_xlfn.SINGLE(SingleCoilTorque($F$19,$G$19,IF($I$19="",$H$19,INDEX(INDIRECT(_xlfn.CONCAT($I$19,"[Torque]")),MATCH(MIN(ABS(INDIRECT(_xlfn.CONCAT($I$19,"[RPM]"))-$R65*60/2/$C$6)),ABS(INDIRECT(_xlfn.CONCAT($I$19,"[RPM]"))-$R65*60/2/$C$6),0))*100),$J$19,$K$19,$L$19,$C$2,$N$19,$Q65))-$O$19)*$C$8</f>
        <v>#VALUE!</v>
      </c>
      <c r="AJ65" s="7">
        <f t="shared" si="7"/>
        <v>23.8732414637843</v>
      </c>
      <c r="AL65">
        <f t="shared" si="2"/>
        <v>1240</v>
      </c>
      <c r="AM65" s="7">
        <f>StepperPower($F$15,$G$15,$H$15,$J$15,$K$15,$L$15,$C$2,$N$15,$Q65)</f>
        <v>25.422104825173641</v>
      </c>
      <c r="AN65" s="7">
        <f>StepperPower($F$16,$G$16,$H$16,$J$16,$K$16,$L$16,$C$2,$N$16,$Q65)</f>
        <v>30.707918164325491</v>
      </c>
      <c r="AO65" s="7">
        <f>StepperPower($F$17,$G$17,$H$17,$J$17,$K$17,$L$17,$C$2,$N$17,$Q65)</f>
        <v>7.1175550176861115</v>
      </c>
      <c r="AP65" s="7" t="e">
        <f>StepperPower($F$18,$G$18,$H$18,$J$18,$K$18,$L$18,$C$2,$N$18,$Q65)</f>
        <v>#VALUE!</v>
      </c>
      <c r="AQ65" s="7" t="e">
        <f>StepperPower($F$19,$G$19,$H$19,$J$19,$K$19,$L$19,$C$2,$N$19,$Q65)</f>
        <v>#VALUE!</v>
      </c>
      <c r="AR65" s="7" t="e">
        <f>StepperPower($F$20,$G$20,$H$20,$J$20,$K$20,$L$20,$C$2,$N$20,$Q65)</f>
        <v>#VALUE!</v>
      </c>
      <c r="AS65" s="7" t="e">
        <f>StepperPower($F$21,$G$21,$H$21,$J$21,$K$21,$L$21,$C$2,$N$21,$Q65)</f>
        <v>#VALUE!</v>
      </c>
      <c r="AT65" s="7" t="e">
        <f>StepperPower($F$22,$G$22,$H$22,$J$22,$K$22,$L$22,$C$2,$N$22,$Q65)</f>
        <v>#VALUE!</v>
      </c>
      <c r="AU65" s="7" t="e">
        <f>StepperPower($F$23,$G$23,$H$23,$J$23,$K$23,$L$23,$C$2,$N$23,$Q65)</f>
        <v>#VALUE!</v>
      </c>
      <c r="AV65" s="7" t="e">
        <f>StepperPower($F$24,$G$24,$H$24,$J$24,$K$24,$L$24,$C$2,$N$24,$Q65)</f>
        <v>#VALUE!</v>
      </c>
      <c r="AW65" s="7" t="e">
        <f>StepperPower($F$25,$G$25,$H$25,$J$25,$K$25,$L$25,$C$2,$N$25,$Q65)</f>
        <v>#VALUE!</v>
      </c>
      <c r="AX65" s="7" t="e">
        <f>StepperPower($F$26,$G$26,$H$26,$J$26,$K$26,$L$26,$C$2,$N$26,$Q65)</f>
        <v>#VALUE!</v>
      </c>
      <c r="AY65" s="7" t="e">
        <f>StepperPower($F$27,$G$27,$H$27,$J$27,$K$27,$L$27,$C$2,$N$27,$Q65)</f>
        <v>#VALUE!</v>
      </c>
      <c r="AZ65" s="7" t="e">
        <f>StepperPower($F$28,$G$28,$H$28,$J$28,$K$28,$L$28,$C$2,$N$28,$Q65)</f>
        <v>#VALUE!</v>
      </c>
      <c r="BA65" s="7" t="e">
        <f>StepperPower($F$29,$G$29,$H$29,$J$29,$K$29,$L$29,$C$2,$N$29,$Q65)</f>
        <v>#VALUE!</v>
      </c>
      <c r="BB65" s="7" t="e">
        <f>StepperPower($F$30,$G$30,$H$30,$J$30,$K$30,$L$30,$C$2,$N$30,$Q65)</f>
        <v>#VALUE!</v>
      </c>
      <c r="BC65" s="7"/>
    </row>
    <row r="66" spans="17:55" x14ac:dyDescent="0.25">
      <c r="Q66">
        <f t="shared" si="3"/>
        <v>31.5</v>
      </c>
      <c r="R66">
        <f t="shared" si="6"/>
        <v>1260</v>
      </c>
      <c r="T66" s="7" cm="1">
        <f t="array" aca="1" ref="T66" ca="1">(_xlfn.SINGLE(SingleCoilTorque($F$15,$G$15,IF($I$15="",$H$15,INDEX(INDIRECT(_xlfn.CONCAT($I$15,"[Torque]")),MATCH(MIN(ABS(INDIRECT(_xlfn.CONCAT($I$15,"[RPM]"))-$R66*60/2/$C$6)),ABS(INDIRECT(_xlfn.CONCAT($I$15,"[RPM]"))-$R66*60/2/$C$6),0))*100),$J$15,$K$15,$L$15,$C$2,$N$15,$Q66))-$O$15)*$C$8</f>
        <v>9.6428419179796894</v>
      </c>
      <c r="U66" s="7" cm="1">
        <f t="array" aca="1" ref="U66" ca="1">(_xlfn.SINGLE(SingleCoilTorque($F$16,$G$16,IF($I$16="",$H$16,INDEX(INDIRECT(_xlfn.CONCAT($I$16,"[Torque]")),MATCH(MIN(ABS(INDIRECT(_xlfn.CONCAT($I$16,"[RPM]"))-$R66*60/2/$C$6)),ABS(INDIRECT(_xlfn.CONCAT($I$16,"[RPM]"))-$R66*60/2/$C$6),0))*100),$J$16,$K$16,$L$16,$C$2,$N$16,$Q66))-$O$16)*$C$8</f>
        <v>15.342619801702662</v>
      </c>
      <c r="V66" s="7" cm="1">
        <f t="array" aca="1" ref="V66" ca="1">(_xlfn.SINGLE(SingleCoilTorque($F$17,$G$17,IF($I$17="",$H$17,INDEX(INDIRECT(_xlfn.CONCAT($I$17,"[Torque]")),MATCH(MIN(ABS(INDIRECT(_xlfn.CONCAT($I$17,"[RPM]"))-$R66*60/2/$C$6)),ABS(INDIRECT(_xlfn.CONCAT($I$17,"[RPM]"))-$R66*60/2/$C$6),0))*100),$J$17,$K$17,$L$17,$C$2,$N$17,$Q66))-$O$17)*$C$8</f>
        <v>2.2488097161103044</v>
      </c>
      <c r="W66" s="7" t="e" cm="1">
        <f t="array" aca="1" ref="W66" ca="1">(_xlfn.SINGLE(SingleCoilTorque($F$18,$G$18,IF($I$18="",$H$18,INDEX(INDIRECT(_xlfn.CONCAT($I$18,"[Torque]")),MATCH(MIN(ABS(INDIRECT(_xlfn.CONCAT($I$18,"[RPM]"))-$R66*60/2/$C$6)),ABS(INDIRECT(_xlfn.CONCAT($I$18,"[RPM]"))-$R66*60/2/$C$6),0))*100),$J$18,$K$18,$L$18,$C$2,$N$18,$Q66))-$O$18)*$C$8</f>
        <v>#VALUE!</v>
      </c>
      <c r="X66" s="7" t="e" cm="1">
        <f t="array" aca="1" ref="X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Y66" s="7" t="e" cm="1">
        <f t="array" aca="1" ref="Y66" ca="1">(_xlfn.SINGLE(SingleCoilTorque($F$20,$G$20,IF($I$20="",$H$20,INDEX(INDIRECT(_xlfn.CONCAT($I$20,"[Torque]")),MATCH(MIN(ABS(INDIRECT(_xlfn.CONCAT($I$20,"[RPM]"))-$R66*60/2/$C$6)),ABS(INDIRECT(_xlfn.CONCAT($I$20,"[RPM]"))-$R66*60/2/$C$6),0))*100),$J$20,$K$20,$L$20,$C$2,$N$20,$Q66))-$O$20)*$C$8</f>
        <v>#VALUE!</v>
      </c>
      <c r="Z66" s="7" t="e" cm="1">
        <f t="array" aca="1" ref="Z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A66" s="7" t="e" cm="1">
        <f t="array" aca="1" ref="AA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B66" s="7" t="e" cm="1">
        <f t="array" aca="1" ref="AB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C66" s="7" t="e" cm="1">
        <f t="array" aca="1" ref="AC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D66" s="7" t="e" cm="1">
        <f t="array" aca="1" ref="AD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E66" s="7" t="e" cm="1">
        <f t="array" aca="1" ref="AE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F66" s="7" t="e" cm="1">
        <f t="array" aca="1" ref="AF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G66" s="7" t="e" cm="1">
        <f t="array" aca="1" ref="AG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H66" s="7" t="e" cm="1">
        <f t="array" aca="1" ref="AH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I66" s="7" t="e" cm="1">
        <f t="array" aca="1" ref="AI66" ca="1">(_xlfn.SINGLE(SingleCoilTorque($F$19,$G$19,IF($I$19="",$H$19,INDEX(INDIRECT(_xlfn.CONCAT($I$19,"[Torque]")),MATCH(MIN(ABS(INDIRECT(_xlfn.CONCAT($I$19,"[RPM]"))-$R66*60/2/$C$6)),ABS(INDIRECT(_xlfn.CONCAT($I$19,"[RPM]"))-$R66*60/2/$C$6),0))*100),$J$19,$K$19,$L$19,$C$2,$N$19,$Q66))-$O$19)*$C$8</f>
        <v>#VALUE!</v>
      </c>
      <c r="AJ66" s="7">
        <f t="shared" si="7"/>
        <v>23.8732414637843</v>
      </c>
      <c r="AL66">
        <f t="shared" si="2"/>
        <v>1260</v>
      </c>
      <c r="AM66" s="7">
        <f>StepperPower($F$15,$G$15,$H$15,$J$15,$K$15,$L$15,$C$2,$N$15,$Q66)</f>
        <v>24.072782306892421</v>
      </c>
      <c r="AN66" s="7">
        <f>StepperPower($F$16,$G$16,$H$16,$J$16,$K$16,$L$16,$C$2,$N$16,$Q66)</f>
        <v>29.591130888430243</v>
      </c>
      <c r="AO66" s="7">
        <f>StepperPower($F$17,$G$17,$H$17,$J$17,$K$17,$L$17,$C$2,$N$17,$Q66)</f>
        <v>5.8265120807416055</v>
      </c>
      <c r="AP66" s="7" t="e">
        <f>StepperPower($F$18,$G$18,$H$18,$J$18,$K$18,$L$18,$C$2,$N$18,$Q66)</f>
        <v>#VALUE!</v>
      </c>
      <c r="AQ66" s="7" t="e">
        <f>StepperPower($F$19,$G$19,$H$19,$J$19,$K$19,$L$19,$C$2,$N$19,$Q66)</f>
        <v>#VALUE!</v>
      </c>
      <c r="AR66" s="7" t="e">
        <f>StepperPower($F$20,$G$20,$H$20,$J$20,$K$20,$L$20,$C$2,$N$20,$Q66)</f>
        <v>#VALUE!</v>
      </c>
      <c r="AS66" s="7" t="e">
        <f>StepperPower($F$21,$G$21,$H$21,$J$21,$K$21,$L$21,$C$2,$N$21,$Q66)</f>
        <v>#VALUE!</v>
      </c>
      <c r="AT66" s="7" t="e">
        <f>StepperPower($F$22,$G$22,$H$22,$J$22,$K$22,$L$22,$C$2,$N$22,$Q66)</f>
        <v>#VALUE!</v>
      </c>
      <c r="AU66" s="7" t="e">
        <f>StepperPower($F$23,$G$23,$H$23,$J$23,$K$23,$L$23,$C$2,$N$23,$Q66)</f>
        <v>#VALUE!</v>
      </c>
      <c r="AV66" s="7" t="e">
        <f>StepperPower($F$24,$G$24,$H$24,$J$24,$K$24,$L$24,$C$2,$N$24,$Q66)</f>
        <v>#VALUE!</v>
      </c>
      <c r="AW66" s="7" t="e">
        <f>StepperPower($F$25,$G$25,$H$25,$J$25,$K$25,$L$25,$C$2,$N$25,$Q66)</f>
        <v>#VALUE!</v>
      </c>
      <c r="AX66" s="7" t="e">
        <f>StepperPower($F$26,$G$26,$H$26,$J$26,$K$26,$L$26,$C$2,$N$26,$Q66)</f>
        <v>#VALUE!</v>
      </c>
      <c r="AY66" s="7" t="e">
        <f>StepperPower($F$27,$G$27,$H$27,$J$27,$K$27,$L$27,$C$2,$N$27,$Q66)</f>
        <v>#VALUE!</v>
      </c>
      <c r="AZ66" s="7" t="e">
        <f>StepperPower($F$28,$G$28,$H$28,$J$28,$K$28,$L$28,$C$2,$N$28,$Q66)</f>
        <v>#VALUE!</v>
      </c>
      <c r="BA66" s="7" t="e">
        <f>StepperPower($F$29,$G$29,$H$29,$J$29,$K$29,$L$29,$C$2,$N$29,$Q66)</f>
        <v>#VALUE!</v>
      </c>
      <c r="BB66" s="7" t="e">
        <f>StepperPower($F$30,$G$30,$H$30,$J$30,$K$30,$L$30,$C$2,$N$30,$Q66)</f>
        <v>#VALUE!</v>
      </c>
      <c r="BC66" s="7"/>
    </row>
    <row r="67" spans="17:55" x14ac:dyDescent="0.25">
      <c r="Q67">
        <f t="shared" si="3"/>
        <v>32</v>
      </c>
      <c r="R67">
        <f>Q67*$C$6*2/$C$7</f>
        <v>1280</v>
      </c>
      <c r="T67" s="7" cm="1">
        <f t="array" aca="1" ref="T67" ca="1">(_xlfn.SINGLE(SingleCoilTorque($F$15,$G$15,IF($I$15="",$H$15,INDEX(INDIRECT(_xlfn.CONCAT($I$15,"[Torque]")),MATCH(MIN(ABS(INDIRECT(_xlfn.CONCAT($I$15,"[RPM]"))-$R67*60/2/$C$6)),ABS(INDIRECT(_xlfn.CONCAT($I$15,"[RPM]"))-$R67*60/2/$C$6),0))*100),$J$15,$K$15,$L$15,$C$2,$N$15,$Q67))-$O$15)*$C$8</f>
        <v>9.1823996241339874</v>
      </c>
      <c r="U67" s="7" cm="1">
        <f t="array" aca="1" ref="U67" ca="1">(_xlfn.SINGLE(SingleCoilTorque($F$16,$G$16,IF($I$16="",$H$16,INDEX(INDIRECT(_xlfn.CONCAT($I$16,"[Torque]")),MATCH(MIN(ABS(INDIRECT(_xlfn.CONCAT($I$16,"[RPM]"))-$R67*60/2/$C$6)),ABS(INDIRECT(_xlfn.CONCAT($I$16,"[RPM]"))-$R67*60/2/$C$6),0))*100),$J$16,$K$16,$L$16,$C$2,$N$16,$Q67))-$O$16)*$C$8</f>
        <v>14.798686859264734</v>
      </c>
      <c r="V67" s="7" cm="1">
        <f t="array" aca="1" ref="V67" ca="1">(_xlfn.SINGLE(SingleCoilTorque($F$17,$G$17,IF($I$17="",$H$17,INDEX(INDIRECT(_xlfn.CONCAT($I$17,"[Torque]")),MATCH(MIN(ABS(INDIRECT(_xlfn.CONCAT($I$17,"[RPM]"))-$R67*60/2/$C$6)),ABS(INDIRECT(_xlfn.CONCAT($I$17,"[RPM]"))-$R67*60/2/$C$6),0))*100),$J$17,$K$17,$L$17,$C$2,$N$17,$Q67))-$O$17)*$C$8</f>
        <v>1.8952642356360514</v>
      </c>
      <c r="W67" s="7" t="e" cm="1">
        <f t="array" aca="1" ref="W67" ca="1">(_xlfn.SINGLE(SingleCoilTorque($F$18,$G$18,IF($I$18="",$H$18,INDEX(INDIRECT(_xlfn.CONCAT($I$18,"[Torque]")),MATCH(MIN(ABS(INDIRECT(_xlfn.CONCAT($I$18,"[RPM]"))-$R67*60/2/$C$6)),ABS(INDIRECT(_xlfn.CONCAT($I$18,"[RPM]"))-$R67*60/2/$C$6),0))*100),$J$18,$K$18,$L$18,$C$2,$N$18,$Q67))-$O$18)*$C$8</f>
        <v>#VALUE!</v>
      </c>
      <c r="X67" s="7" t="e" cm="1">
        <f t="array" aca="1" ref="X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Y67" s="7" t="e" cm="1">
        <f t="array" aca="1" ref="Y67" ca="1">(_xlfn.SINGLE(SingleCoilTorque($F$20,$G$20,IF($I$20="",$H$20,INDEX(INDIRECT(_xlfn.CONCAT($I$20,"[Torque]")),MATCH(MIN(ABS(INDIRECT(_xlfn.CONCAT($I$20,"[RPM]"))-$R67*60/2/$C$6)),ABS(INDIRECT(_xlfn.CONCAT($I$20,"[RPM]"))-$R67*60/2/$C$6),0))*100),$J$20,$K$20,$L$20,$C$2,$N$20,$Q67))-$O$20)*$C$8</f>
        <v>#VALUE!</v>
      </c>
      <c r="Z67" s="7" t="e" cm="1">
        <f t="array" aca="1" ref="Z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A67" s="7" t="e" cm="1">
        <f t="array" aca="1" ref="AA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B67" s="7" t="e" cm="1">
        <f t="array" aca="1" ref="AB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C67" s="7" t="e" cm="1">
        <f t="array" aca="1" ref="AC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D67" s="7" t="e" cm="1">
        <f t="array" aca="1" ref="AD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E67" s="7" t="e" cm="1">
        <f t="array" aca="1" ref="AE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F67" s="7" t="e" cm="1">
        <f t="array" aca="1" ref="AF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G67" s="7" t="e" cm="1">
        <f t="array" aca="1" ref="AG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H67" s="7" t="e" cm="1">
        <f t="array" aca="1" ref="AH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I67" s="7" t="e" cm="1">
        <f t="array" aca="1" ref="AI67" ca="1">(_xlfn.SINGLE(SingleCoilTorque($F$19,$G$19,IF($I$19="",$H$19,INDEX(INDIRECT(_xlfn.CONCAT($I$19,"[Torque]")),MATCH(MIN(ABS(INDIRECT(_xlfn.CONCAT($I$19,"[RPM]"))-$R67*60/2/$C$6)),ABS(INDIRECT(_xlfn.CONCAT($I$19,"[RPM]"))-$R67*60/2/$C$6),0))*100),$J$19,$K$19,$L$19,$C$2,$N$19,$Q67))-$O$19)*$C$8</f>
        <v>#VALUE!</v>
      </c>
      <c r="AJ67" s="7">
        <f t="shared" si="7"/>
        <v>23.8732414637843</v>
      </c>
      <c r="AL67">
        <f t="shared" si="2"/>
        <v>1280</v>
      </c>
      <c r="AM67" s="7">
        <f>StepperPower($F$15,$G$15,$H$15,$J$15,$K$15,$L$15,$C$2,$N$15,$Q67)</f>
        <v>22.725999503899999</v>
      </c>
      <c r="AN67" s="7">
        <f>StepperPower($F$16,$G$16,$H$16,$J$16,$K$16,$L$16,$C$2,$N$16,$Q67)</f>
        <v>28.477474291837446</v>
      </c>
      <c r="AO67" s="7">
        <f>StepperPower($F$17,$G$17,$H$17,$J$17,$K$17,$L$17,$C$2,$N$17,$Q67)</f>
        <v>4.5358340421713725</v>
      </c>
      <c r="AP67" s="7" t="e">
        <f>StepperPower($F$18,$G$18,$H$18,$J$18,$K$18,$L$18,$C$2,$N$18,$Q67)</f>
        <v>#VALUE!</v>
      </c>
      <c r="AQ67" s="7" t="e">
        <f>StepperPower($F$19,$G$19,$H$19,$J$19,$K$19,$L$19,$C$2,$N$19,$Q67)</f>
        <v>#VALUE!</v>
      </c>
      <c r="AR67" s="7" t="e">
        <f>StepperPower($F$20,$G$20,$H$20,$J$20,$K$20,$L$20,$C$2,$N$20,$Q67)</f>
        <v>#VALUE!</v>
      </c>
      <c r="AS67" s="7" t="e">
        <f>StepperPower($F$21,$G$21,$H$21,$J$21,$K$21,$L$21,$C$2,$N$21,$Q67)</f>
        <v>#VALUE!</v>
      </c>
      <c r="AT67" s="7" t="e">
        <f>StepperPower($F$22,$G$22,$H$22,$J$22,$K$22,$L$22,$C$2,$N$22,$Q67)</f>
        <v>#VALUE!</v>
      </c>
      <c r="AU67" s="7" t="e">
        <f>StepperPower($F$23,$G$23,$H$23,$J$23,$K$23,$L$23,$C$2,$N$23,$Q67)</f>
        <v>#VALUE!</v>
      </c>
      <c r="AV67" s="7" t="e">
        <f>StepperPower($F$24,$G$24,$H$24,$J$24,$K$24,$L$24,$C$2,$N$24,$Q67)</f>
        <v>#VALUE!</v>
      </c>
      <c r="AW67" s="7" t="e">
        <f>StepperPower($F$25,$G$25,$H$25,$J$25,$K$25,$L$25,$C$2,$N$25,$Q67)</f>
        <v>#VALUE!</v>
      </c>
      <c r="AX67" s="7" t="e">
        <f>StepperPower($F$26,$G$26,$H$26,$J$26,$K$26,$L$26,$C$2,$N$26,$Q67)</f>
        <v>#VALUE!</v>
      </c>
      <c r="AY67" s="7" t="e">
        <f>StepperPower($F$27,$G$27,$H$27,$J$27,$K$27,$L$27,$C$2,$N$27,$Q67)</f>
        <v>#VALUE!</v>
      </c>
      <c r="AZ67" s="7" t="e">
        <f>StepperPower($F$28,$G$28,$H$28,$J$28,$K$28,$L$28,$C$2,$N$28,$Q67)</f>
        <v>#VALUE!</v>
      </c>
      <c r="BA67" s="7" t="e">
        <f>StepperPower($F$29,$G$29,$H$29,$J$29,$K$29,$L$29,$C$2,$N$29,$Q67)</f>
        <v>#VALUE!</v>
      </c>
      <c r="BB67" s="7" t="e">
        <f>StepperPower($F$30,$G$30,$H$30,$J$30,$K$30,$L$30,$C$2,$N$30,$Q67)</f>
        <v>#VALUE!</v>
      </c>
      <c r="BC67" s="7"/>
    </row>
    <row r="68" spans="17:55" x14ac:dyDescent="0.25">
      <c r="Q68">
        <f t="shared" si="3"/>
        <v>32.5</v>
      </c>
      <c r="R68">
        <f t="shared" ref="R68:R102" si="8">Q68*$C$6*2/$C$7</f>
        <v>1300</v>
      </c>
      <c r="T68" s="7" cm="1">
        <f t="array" aca="1" ref="T68" ca="1">(_xlfn.SINGLE(SingleCoilTorque($F$15,$G$15,IF($I$15="",$H$15,INDEX(INDIRECT(_xlfn.CONCAT($I$15,"[Torque]")),MATCH(MIN(ABS(INDIRECT(_xlfn.CONCAT($I$15,"[RPM]"))-$R68*60/2/$C$6)),ABS(INDIRECT(_xlfn.CONCAT($I$15,"[RPM]"))-$R68*60/2/$C$6),0))*100),$J$15,$K$15,$L$15,$C$2,$N$15,$Q68))-$O$15)*$C$8</f>
        <v>8.7353075485982981</v>
      </c>
      <c r="U68" s="7" cm="1">
        <f t="array" aca="1" ref="U68" ca="1">(_xlfn.SINGLE(SingleCoilTorque($F$16,$G$16,IF($I$16="",$H$16,INDEX(INDIRECT(_xlfn.CONCAT($I$16,"[Torque]")),MATCH(MIN(ABS(INDIRECT(_xlfn.CONCAT($I$16,"[RPM]"))-$R68*60/2/$C$6)),ABS(INDIRECT(_xlfn.CONCAT($I$16,"[RPM]"))-$R68*60/2/$C$6),0))*100),$J$16,$K$16,$L$16,$C$2,$N$16,$Q68))-$O$16)*$C$8</f>
        <v>14.270616392266701</v>
      </c>
      <c r="V68" s="7" cm="1">
        <f t="array" aca="1" ref="V68" ca="1">(_xlfn.SINGLE(SingleCoilTorque($F$17,$G$17,IF($I$17="",$H$17,INDEX(INDIRECT(_xlfn.CONCAT($I$17,"[Torque]")),MATCH(MIN(ABS(INDIRECT(_xlfn.CONCAT($I$17,"[RPM]"))-$R68*60/2/$C$6)),ABS(INDIRECT(_xlfn.CONCAT($I$17,"[RPM]"))-$R68*60/2/$C$6),0))*100),$J$17,$K$17,$L$17,$C$2,$N$17,$Q68))-$O$17)*$C$8</f>
        <v>1.5521705386464788</v>
      </c>
      <c r="W68" s="7" t="e" cm="1">
        <f t="array" aca="1" ref="W68" ca="1">(_xlfn.SINGLE(SingleCoilTorque($F$18,$G$18,IF($I$18="",$H$18,INDEX(INDIRECT(_xlfn.CONCAT($I$18,"[Torque]")),MATCH(MIN(ABS(INDIRECT(_xlfn.CONCAT($I$18,"[RPM]"))-$R68*60/2/$C$6)),ABS(INDIRECT(_xlfn.CONCAT($I$18,"[RPM]"))-$R68*60/2/$C$6),0))*100),$J$18,$K$18,$L$18,$C$2,$N$18,$Q68))-$O$18)*$C$8</f>
        <v>#VALUE!</v>
      </c>
      <c r="X68" s="7" t="e" cm="1">
        <f t="array" aca="1" ref="X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Y68" s="7" t="e" cm="1">
        <f t="array" aca="1" ref="Y68" ca="1">(_xlfn.SINGLE(SingleCoilTorque($F$20,$G$20,IF($I$20="",$H$20,INDEX(INDIRECT(_xlfn.CONCAT($I$20,"[Torque]")),MATCH(MIN(ABS(INDIRECT(_xlfn.CONCAT($I$20,"[RPM]"))-$R68*60/2/$C$6)),ABS(INDIRECT(_xlfn.CONCAT($I$20,"[RPM]"))-$R68*60/2/$C$6),0))*100),$J$20,$K$20,$L$20,$C$2,$N$20,$Q68))-$O$20)*$C$8</f>
        <v>#VALUE!</v>
      </c>
      <c r="Z68" s="7" t="e" cm="1">
        <f t="array" aca="1" ref="Z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A68" s="7" t="e" cm="1">
        <f t="array" aca="1" ref="AA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B68" s="7" t="e" cm="1">
        <f t="array" aca="1" ref="AB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C68" s="7" t="e" cm="1">
        <f t="array" aca="1" ref="AC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D68" s="7" t="e" cm="1">
        <f t="array" aca="1" ref="AD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E68" s="7" t="e" cm="1">
        <f t="array" aca="1" ref="AE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F68" s="7" t="e" cm="1">
        <f t="array" aca="1" ref="AF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G68" s="7" t="e" cm="1">
        <f t="array" aca="1" ref="AG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H68" s="7" t="e" cm="1">
        <f t="array" aca="1" ref="AH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I68" s="7" t="e" cm="1">
        <f t="array" aca="1" ref="AI68" ca="1">(_xlfn.SINGLE(SingleCoilTorque($F$19,$G$19,IF($I$19="",$H$19,INDEX(INDIRECT(_xlfn.CONCAT($I$19,"[Torque]")),MATCH(MIN(ABS(INDIRECT(_xlfn.CONCAT($I$19,"[RPM]"))-$R68*60/2/$C$6)),ABS(INDIRECT(_xlfn.CONCAT($I$19,"[RPM]"))-$R68*60/2/$C$6),0))*100),$J$19,$K$19,$L$19,$C$2,$N$19,$Q68))-$O$19)*$C$8</f>
        <v>#VALUE!</v>
      </c>
      <c r="AJ68" s="7">
        <f t="shared" ref="AJ68:AJ102" si="9">$C$12</f>
        <v>23.8732414637843</v>
      </c>
      <c r="AL68">
        <f t="shared" ref="AL68:AL102" si="10">R68</f>
        <v>1300</v>
      </c>
      <c r="AM68" s="7">
        <f>StepperPower($F$15,$G$15,$H$15,$J$15,$K$15,$L$15,$C$2,$N$15,$Q68)</f>
        <v>21.381477432683614</v>
      </c>
      <c r="AN68" s="7">
        <f>StepperPower($F$16,$G$16,$H$16,$J$16,$K$16,$L$16,$C$2,$N$16,$Q68)</f>
        <v>27.366657985372225</v>
      </c>
      <c r="AO68" s="7">
        <f>StepperPower($F$17,$G$17,$H$17,$J$17,$K$17,$L$17,$C$2,$N$17,$Q68)</f>
        <v>3.2454235791252537</v>
      </c>
      <c r="AP68" s="7" t="e">
        <f>StepperPower($F$18,$G$18,$H$18,$J$18,$K$18,$L$18,$C$2,$N$18,$Q68)</f>
        <v>#VALUE!</v>
      </c>
      <c r="AQ68" s="7" t="e">
        <f>StepperPower($F$19,$G$19,$H$19,$J$19,$K$19,$L$19,$C$2,$N$19,$Q68)</f>
        <v>#VALUE!</v>
      </c>
      <c r="AR68" s="7" t="e">
        <f>StepperPower($F$20,$G$20,$H$20,$J$20,$K$20,$L$20,$C$2,$N$20,$Q68)</f>
        <v>#VALUE!</v>
      </c>
      <c r="AS68" s="7" t="e">
        <f>StepperPower($F$21,$G$21,$H$21,$J$21,$K$21,$L$21,$C$2,$N$21,$Q68)</f>
        <v>#VALUE!</v>
      </c>
      <c r="AT68" s="7" t="e">
        <f>StepperPower($F$22,$G$22,$H$22,$J$22,$K$22,$L$22,$C$2,$N$22,$Q68)</f>
        <v>#VALUE!</v>
      </c>
      <c r="AU68" s="7" t="e">
        <f>StepperPower($F$23,$G$23,$H$23,$J$23,$K$23,$L$23,$C$2,$N$23,$Q68)</f>
        <v>#VALUE!</v>
      </c>
      <c r="AV68" s="7" t="e">
        <f>StepperPower($F$24,$G$24,$H$24,$J$24,$K$24,$L$24,$C$2,$N$24,$Q68)</f>
        <v>#VALUE!</v>
      </c>
      <c r="AW68" s="7" t="e">
        <f>StepperPower($F$25,$G$25,$H$25,$J$25,$K$25,$L$25,$C$2,$N$25,$Q68)</f>
        <v>#VALUE!</v>
      </c>
      <c r="AX68" s="7" t="e">
        <f>StepperPower($F$26,$G$26,$H$26,$J$26,$K$26,$L$26,$C$2,$N$26,$Q68)</f>
        <v>#VALUE!</v>
      </c>
      <c r="AY68" s="7" t="e">
        <f>StepperPower($F$27,$G$27,$H$27,$J$27,$K$27,$L$27,$C$2,$N$27,$Q68)</f>
        <v>#VALUE!</v>
      </c>
      <c r="AZ68" s="7" t="e">
        <f>StepperPower($F$28,$G$28,$H$28,$J$28,$K$28,$L$28,$C$2,$N$28,$Q68)</f>
        <v>#VALUE!</v>
      </c>
      <c r="BA68" s="7" t="e">
        <f>StepperPower($F$29,$G$29,$H$29,$J$29,$K$29,$L$29,$C$2,$N$29,$Q68)</f>
        <v>#VALUE!</v>
      </c>
      <c r="BB68" s="7" t="e">
        <f>StepperPower($F$30,$G$30,$H$30,$J$30,$K$30,$L$30,$C$2,$N$30,$Q68)</f>
        <v>#VALUE!</v>
      </c>
      <c r="BC68" s="7"/>
    </row>
    <row r="69" spans="17:55" x14ac:dyDescent="0.25">
      <c r="Q69">
        <f t="shared" ref="Q69:Q102" si="11">Q68+0.5</f>
        <v>33</v>
      </c>
      <c r="R69">
        <f t="shared" si="8"/>
        <v>1320</v>
      </c>
      <c r="T69" s="7" cm="1">
        <f t="array" aca="1" ref="T69" ca="1">(_xlfn.SINGLE(SingleCoilTorque($F$15,$G$15,IF($I$15="",$H$15,INDEX(INDIRECT(_xlfn.CONCAT($I$15,"[Torque]")),MATCH(MIN(ABS(INDIRECT(_xlfn.CONCAT($I$15,"[RPM]"))-$R69*60/2/$C$6)),ABS(INDIRECT(_xlfn.CONCAT($I$15,"[RPM]"))-$R69*60/2/$C$6),0))*100),$J$15,$K$15,$L$15,$C$2,$N$15,$Q69))-$O$15)*$C$8</f>
        <v>8.3009933673879548</v>
      </c>
      <c r="U69" s="7" cm="1">
        <f t="array" aca="1" ref="U69" ca="1">(_xlfn.SINGLE(SingleCoilTorque($F$16,$G$16,IF($I$16="",$H$16,INDEX(INDIRECT(_xlfn.CONCAT($I$16,"[Torque]")),MATCH(MIN(ABS(INDIRECT(_xlfn.CONCAT($I$16,"[RPM]"))-$R69*60/2/$C$6)),ABS(INDIRECT(_xlfn.CONCAT($I$16,"[RPM]"))-$R69*60/2/$C$6),0))*100),$J$16,$K$16,$L$16,$C$2,$N$16,$Q69))-$O$16)*$C$8</f>
        <v>13.429363004304015</v>
      </c>
      <c r="V69" s="7" cm="1">
        <f t="array" aca="1" ref="V69" ca="1">(_xlfn.SINGLE(SingleCoilTorque($F$17,$G$17,IF($I$17="",$H$17,INDEX(INDIRECT(_xlfn.CONCAT($I$17,"[Torque]")),MATCH(MIN(ABS(INDIRECT(_xlfn.CONCAT($I$17,"[RPM]"))-$R69*60/2/$C$6)),ABS(INDIRECT(_xlfn.CONCAT($I$17,"[RPM]"))-$R69*60/2/$C$6),0))*100),$J$17,$K$17,$L$17,$C$2,$N$17,$Q69))-$O$17)*$C$8</f>
        <v>0.75229405713681674</v>
      </c>
      <c r="W69" s="7" t="e" cm="1">
        <f t="array" aca="1" ref="W69" ca="1">(_xlfn.SINGLE(SingleCoilTorque($F$18,$G$18,IF($I$18="",$H$18,INDEX(INDIRECT(_xlfn.CONCAT($I$18,"[Torque]")),MATCH(MIN(ABS(INDIRECT(_xlfn.CONCAT($I$18,"[RPM]"))-$R69*60/2/$C$6)),ABS(INDIRECT(_xlfn.CONCAT($I$18,"[RPM]"))-$R69*60/2/$C$6),0))*100),$J$18,$K$18,$L$18,$C$2,$N$18,$Q69))-$O$18)*$C$8</f>
        <v>#VALUE!</v>
      </c>
      <c r="X69" s="7" t="e" cm="1">
        <f t="array" aca="1" ref="X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Y69" s="7" t="e" cm="1">
        <f t="array" aca="1" ref="Y69" ca="1">(_xlfn.SINGLE(SingleCoilTorque($F$20,$G$20,IF($I$20="",$H$20,INDEX(INDIRECT(_xlfn.CONCAT($I$20,"[Torque]")),MATCH(MIN(ABS(INDIRECT(_xlfn.CONCAT($I$20,"[RPM]"))-$R69*60/2/$C$6)),ABS(INDIRECT(_xlfn.CONCAT($I$20,"[RPM]"))-$R69*60/2/$C$6),0))*100),$J$20,$K$20,$L$20,$C$2,$N$20,$Q69))-$O$20)*$C$8</f>
        <v>#VALUE!</v>
      </c>
      <c r="Z69" s="7" t="e" cm="1">
        <f t="array" aca="1" ref="Z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A69" s="7" t="e" cm="1">
        <f t="array" aca="1" ref="AA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B69" s="7" t="e" cm="1">
        <f t="array" aca="1" ref="AB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C69" s="7" t="e" cm="1">
        <f t="array" aca="1" ref="AC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D69" s="7" t="e" cm="1">
        <f t="array" aca="1" ref="AD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E69" s="7" t="e" cm="1">
        <f t="array" aca="1" ref="AE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F69" s="7" t="e" cm="1">
        <f t="array" aca="1" ref="AF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G69" s="7" t="e" cm="1">
        <f t="array" aca="1" ref="AG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H69" s="7" t="e" cm="1">
        <f t="array" aca="1" ref="AH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I69" s="7" t="e" cm="1">
        <f t="array" aca="1" ref="AI69" ca="1">(_xlfn.SINGLE(SingleCoilTorque($F$19,$G$19,IF($I$19="",$H$19,INDEX(INDIRECT(_xlfn.CONCAT($I$19,"[Torque]")),MATCH(MIN(ABS(INDIRECT(_xlfn.CONCAT($I$19,"[RPM]"))-$R69*60/2/$C$6)),ABS(INDIRECT(_xlfn.CONCAT($I$19,"[RPM]"))-$R69*60/2/$C$6),0))*100),$J$19,$K$19,$L$19,$C$2,$N$19,$Q69))-$O$19)*$C$8</f>
        <v>#VALUE!</v>
      </c>
      <c r="AJ69" s="7">
        <f t="shared" si="9"/>
        <v>23.8732414637843</v>
      </c>
      <c r="AL69">
        <f t="shared" si="10"/>
        <v>1320</v>
      </c>
      <c r="AM69" s="7">
        <f>StepperPower($F$15,$G$15,$H$15,$J$15,$K$15,$L$15,$C$2,$N$15,$Q69)</f>
        <v>20.038962551808268</v>
      </c>
      <c r="AN69" s="7">
        <f>StepperPower($F$16,$G$16,$H$16,$J$16,$K$16,$L$16,$C$2,$N$16,$Q69)</f>
        <v>26.258416967516197</v>
      </c>
      <c r="AO69" s="7">
        <f>StepperPower($F$17,$G$17,$H$17,$J$17,$K$17,$L$17,$C$2,$N$17,$Q69)</f>
        <v>1.9551936980059936</v>
      </c>
      <c r="AP69" s="7" t="e">
        <f>StepperPower($F$18,$G$18,$H$18,$J$18,$K$18,$L$18,$C$2,$N$18,$Q69)</f>
        <v>#VALUE!</v>
      </c>
      <c r="AQ69" s="7" t="e">
        <f>StepperPower($F$19,$G$19,$H$19,$J$19,$K$19,$L$19,$C$2,$N$19,$Q69)</f>
        <v>#VALUE!</v>
      </c>
      <c r="AR69" s="7" t="e">
        <f>StepperPower($F$20,$G$20,$H$20,$J$20,$K$20,$L$20,$C$2,$N$20,$Q69)</f>
        <v>#VALUE!</v>
      </c>
      <c r="AS69" s="7" t="e">
        <f>StepperPower($F$21,$G$21,$H$21,$J$21,$K$21,$L$21,$C$2,$N$21,$Q69)</f>
        <v>#VALUE!</v>
      </c>
      <c r="AT69" s="7" t="e">
        <f>StepperPower($F$22,$G$22,$H$22,$J$22,$K$22,$L$22,$C$2,$N$22,$Q69)</f>
        <v>#VALUE!</v>
      </c>
      <c r="AU69" s="7" t="e">
        <f>StepperPower($F$23,$G$23,$H$23,$J$23,$K$23,$L$23,$C$2,$N$23,$Q69)</f>
        <v>#VALUE!</v>
      </c>
      <c r="AV69" s="7" t="e">
        <f>StepperPower($F$24,$G$24,$H$24,$J$24,$K$24,$L$24,$C$2,$N$24,$Q69)</f>
        <v>#VALUE!</v>
      </c>
      <c r="AW69" s="7" t="e">
        <f>StepperPower($F$25,$G$25,$H$25,$J$25,$K$25,$L$25,$C$2,$N$25,$Q69)</f>
        <v>#VALUE!</v>
      </c>
      <c r="AX69" s="7" t="e">
        <f>StepperPower($F$26,$G$26,$H$26,$J$26,$K$26,$L$26,$C$2,$N$26,$Q69)</f>
        <v>#VALUE!</v>
      </c>
      <c r="AY69" s="7" t="e">
        <f>StepperPower($F$27,$G$27,$H$27,$J$27,$K$27,$L$27,$C$2,$N$27,$Q69)</f>
        <v>#VALUE!</v>
      </c>
      <c r="AZ69" s="7" t="e">
        <f>StepperPower($F$28,$G$28,$H$28,$J$28,$K$28,$L$28,$C$2,$N$28,$Q69)</f>
        <v>#VALUE!</v>
      </c>
      <c r="BA69" s="7" t="e">
        <f>StepperPower($F$29,$G$29,$H$29,$J$29,$K$29,$L$29,$C$2,$N$29,$Q69)</f>
        <v>#VALUE!</v>
      </c>
      <c r="BB69" s="7" t="e">
        <f>StepperPower($F$30,$G$30,$H$30,$J$30,$K$30,$L$30,$C$2,$N$30,$Q69)</f>
        <v>#VALUE!</v>
      </c>
      <c r="BC69" s="7"/>
    </row>
    <row r="70" spans="17:55" x14ac:dyDescent="0.25">
      <c r="Q70">
        <f t="shared" si="11"/>
        <v>33.5</v>
      </c>
      <c r="R70">
        <f t="shared" si="8"/>
        <v>1340</v>
      </c>
      <c r="T70" s="7" cm="1">
        <f t="array" aca="1" ref="T70" ca="1">(_xlfn.SINGLE(SingleCoilTorque($F$15,$G$15,IF($I$15="",$H$15,INDEX(INDIRECT(_xlfn.CONCAT($I$15,"[Torque]")),MATCH(MIN(ABS(INDIRECT(_xlfn.CONCAT($I$15,"[RPM]"))-$R70*60/2/$C$6)),ABS(INDIRECT(_xlfn.CONCAT($I$15,"[RPM]"))-$R70*60/2/$C$6),0))*100),$J$15,$K$15,$L$15,$C$2,$N$15,$Q70))-$O$15)*$C$8</f>
        <v>7.8789170096668677</v>
      </c>
      <c r="U70" s="7" cm="1">
        <f t="array" aca="1" ref="U70" ca="1">(_xlfn.SINGLE(SingleCoilTorque($F$16,$G$16,IF($I$16="",$H$16,INDEX(INDIRECT(_xlfn.CONCAT($I$16,"[Torque]")),MATCH(MIN(ABS(INDIRECT(_xlfn.CONCAT($I$16,"[RPM]"))-$R70*60/2/$C$6)),ABS(INDIRECT(_xlfn.CONCAT($I$16,"[RPM]"))-$R70*60/2/$C$6),0))*100),$J$16,$K$16,$L$16,$C$2,$N$16,$Q70))-$O$16)*$C$8</f>
        <v>12.94559784070276</v>
      </c>
      <c r="V70" s="7" cm="1">
        <f t="array" aca="1" ref="V70" ca="1">(_xlfn.SINGLE(SingleCoilTorque($F$17,$G$17,IF($I$17="",$H$17,INDEX(INDIRECT(_xlfn.CONCAT($I$17,"[Torque]")),MATCH(MIN(ABS(INDIRECT(_xlfn.CONCAT($I$17,"[RPM]"))-$R70*60/2/$C$6)),ABS(INDIRECT(_xlfn.CONCAT($I$17,"[RPM]"))-$R70*60/2/$C$6),0))*100),$J$17,$K$17,$L$17,$C$2,$N$17,$Q70))-$O$17)*$C$8</f>
        <v>0.44729519345422664</v>
      </c>
      <c r="W70" s="7" t="e" cm="1">
        <f t="array" aca="1" ref="W70" ca="1">(_xlfn.SINGLE(SingleCoilTorque($F$18,$G$18,IF($I$18="",$H$18,INDEX(INDIRECT(_xlfn.CONCAT($I$18,"[Torque]")),MATCH(MIN(ABS(INDIRECT(_xlfn.CONCAT($I$18,"[RPM]"))-$R70*60/2/$C$6)),ABS(INDIRECT(_xlfn.CONCAT($I$18,"[RPM]"))-$R70*60/2/$C$6),0))*100),$J$18,$K$18,$L$18,$C$2,$N$18,$Q70))-$O$18)*$C$8</f>
        <v>#VALUE!</v>
      </c>
      <c r="X70" s="7" t="e" cm="1">
        <f t="array" aca="1" ref="X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Y70" s="7" t="e" cm="1">
        <f t="array" aca="1" ref="Y70" ca="1">(_xlfn.SINGLE(SingleCoilTorque($F$20,$G$20,IF($I$20="",$H$20,INDEX(INDIRECT(_xlfn.CONCAT($I$20,"[Torque]")),MATCH(MIN(ABS(INDIRECT(_xlfn.CONCAT($I$20,"[RPM]"))-$R70*60/2/$C$6)),ABS(INDIRECT(_xlfn.CONCAT($I$20,"[RPM]"))-$R70*60/2/$C$6),0))*100),$J$20,$K$20,$L$20,$C$2,$N$20,$Q70))-$O$20)*$C$8</f>
        <v>#VALUE!</v>
      </c>
      <c r="Z70" s="7" t="e" cm="1">
        <f t="array" aca="1" ref="Z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A70" s="7" t="e" cm="1">
        <f t="array" aca="1" ref="AA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B70" s="7" t="e" cm="1">
        <f t="array" aca="1" ref="AB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C70" s="7" t="e" cm="1">
        <f t="array" aca="1" ref="AC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D70" s="7" t="e" cm="1">
        <f t="array" aca="1" ref="AD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E70" s="7" t="e" cm="1">
        <f t="array" aca="1" ref="AE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F70" s="7" t="e" cm="1">
        <f t="array" aca="1" ref="AF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G70" s="7" t="e" cm="1">
        <f t="array" aca="1" ref="AG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H70" s="7" t="e" cm="1">
        <f t="array" aca="1" ref="AH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I70" s="7" t="e" cm="1">
        <f t="array" aca="1" ref="AI70" ca="1">(_xlfn.SINGLE(SingleCoilTorque($F$19,$G$19,IF($I$19="",$H$19,INDEX(INDIRECT(_xlfn.CONCAT($I$19,"[Torque]")),MATCH(MIN(ABS(INDIRECT(_xlfn.CONCAT($I$19,"[RPM]"))-$R70*60/2/$C$6)),ABS(INDIRECT(_xlfn.CONCAT($I$19,"[RPM]"))-$R70*60/2/$C$6),0))*100),$J$19,$K$19,$L$19,$C$2,$N$19,$Q70))-$O$19)*$C$8</f>
        <v>#VALUE!</v>
      </c>
      <c r="AJ70" s="7">
        <f t="shared" si="9"/>
        <v>23.8732414637843</v>
      </c>
      <c r="AL70">
        <f t="shared" si="10"/>
        <v>1340</v>
      </c>
      <c r="AM70" s="7">
        <f>StepperPower($F$15,$G$15,$H$15,$J$15,$K$15,$L$15,$C$2,$N$15,$Q70)</f>
        <v>18.698224310228021</v>
      </c>
      <c r="AN70" s="7">
        <f>StepperPower($F$16,$G$16,$H$16,$J$16,$K$16,$L$16,$C$2,$N$16,$Q70)</f>
        <v>25.152509218765598</v>
      </c>
      <c r="AO70" s="7">
        <f>StepperPower($F$17,$G$17,$H$17,$J$17,$K$17,$L$17,$C$2,$N$17,$Q70)</f>
        <v>0.66506666335652787</v>
      </c>
      <c r="AP70" s="7" t="e">
        <f>StepperPower($F$18,$G$18,$H$18,$J$18,$K$18,$L$18,$C$2,$N$18,$Q70)</f>
        <v>#VALUE!</v>
      </c>
      <c r="AQ70" s="7" t="e">
        <f>StepperPower($F$19,$G$19,$H$19,$J$19,$K$19,$L$19,$C$2,$N$19,$Q70)</f>
        <v>#VALUE!</v>
      </c>
      <c r="AR70" s="7" t="e">
        <f>StepperPower($F$20,$G$20,$H$20,$J$20,$K$20,$L$20,$C$2,$N$20,$Q70)</f>
        <v>#VALUE!</v>
      </c>
      <c r="AS70" s="7" t="e">
        <f>StepperPower($F$21,$G$21,$H$21,$J$21,$K$21,$L$21,$C$2,$N$21,$Q70)</f>
        <v>#VALUE!</v>
      </c>
      <c r="AT70" s="7" t="e">
        <f>StepperPower($F$22,$G$22,$H$22,$J$22,$K$22,$L$22,$C$2,$N$22,$Q70)</f>
        <v>#VALUE!</v>
      </c>
      <c r="AU70" s="7" t="e">
        <f>StepperPower($F$23,$G$23,$H$23,$J$23,$K$23,$L$23,$C$2,$N$23,$Q70)</f>
        <v>#VALUE!</v>
      </c>
      <c r="AV70" s="7" t="e">
        <f>StepperPower($F$24,$G$24,$H$24,$J$24,$K$24,$L$24,$C$2,$N$24,$Q70)</f>
        <v>#VALUE!</v>
      </c>
      <c r="AW70" s="7" t="e">
        <f>StepperPower($F$25,$G$25,$H$25,$J$25,$K$25,$L$25,$C$2,$N$25,$Q70)</f>
        <v>#VALUE!</v>
      </c>
      <c r="AX70" s="7" t="e">
        <f>StepperPower($F$26,$G$26,$H$26,$J$26,$K$26,$L$26,$C$2,$N$26,$Q70)</f>
        <v>#VALUE!</v>
      </c>
      <c r="AY70" s="7" t="e">
        <f>StepperPower($F$27,$G$27,$H$27,$J$27,$K$27,$L$27,$C$2,$N$27,$Q70)</f>
        <v>#VALUE!</v>
      </c>
      <c r="AZ70" s="7" t="e">
        <f>StepperPower($F$28,$G$28,$H$28,$J$28,$K$28,$L$28,$C$2,$N$28,$Q70)</f>
        <v>#VALUE!</v>
      </c>
      <c r="BA70" s="7" t="e">
        <f>StepperPower($F$29,$G$29,$H$29,$J$29,$K$29,$L$29,$C$2,$N$29,$Q70)</f>
        <v>#VALUE!</v>
      </c>
      <c r="BB70" s="7" t="e">
        <f>StepperPower($F$30,$G$30,$H$30,$J$30,$K$30,$L$30,$C$2,$N$30,$Q70)</f>
        <v>#VALUE!</v>
      </c>
      <c r="BC70" s="7"/>
    </row>
    <row r="71" spans="17:55" x14ac:dyDescent="0.25">
      <c r="Q71">
        <f t="shared" si="11"/>
        <v>34</v>
      </c>
      <c r="R71">
        <f t="shared" si="8"/>
        <v>1360</v>
      </c>
      <c r="T71" s="7" cm="1">
        <f t="array" aca="1" ref="T71" ca="1">(_xlfn.SINGLE(SingleCoilTorque($F$15,$G$15,IF($I$15="",$H$15,INDEX(INDIRECT(_xlfn.CONCAT($I$15,"[Torque]")),MATCH(MIN(ABS(INDIRECT(_xlfn.CONCAT($I$15,"[RPM]"))-$R71*60/2/$C$6)),ABS(INDIRECT(_xlfn.CONCAT($I$15,"[RPM]"))-$R71*60/2/$C$6),0))*100),$J$15,$K$15,$L$15,$C$2,$N$15,$Q71))-$O$15)*$C$8</f>
        <v>7.4685684172917526</v>
      </c>
      <c r="U71" s="7" cm="1">
        <f t="array" aca="1" ref="U71" ca="1">(_xlfn.SINGLE(SingleCoilTorque($F$16,$G$16,IF($I$16="",$H$16,INDEX(INDIRECT(_xlfn.CONCAT($I$16,"[Torque]")),MATCH(MIN(ABS(INDIRECT(_xlfn.CONCAT($I$16,"[RPM]"))-$R71*60/2/$C$6)),ABS(INDIRECT(_xlfn.CONCAT($I$16,"[RPM]"))-$R71*60/2/$C$6),0))*100),$J$16,$K$16,$L$16,$C$2,$N$16,$Q71))-$O$16)*$C$8</f>
        <v>12.475349239959073</v>
      </c>
      <c r="V71" s="7" cm="1">
        <f t="array" aca="1" ref="V71" ca="1">(_xlfn.SINGLE(SingleCoilTorque($F$17,$G$17,IF($I$17="",$H$17,INDEX(INDIRECT(_xlfn.CONCAT($I$17,"[Torque]")),MATCH(MIN(ABS(INDIRECT(_xlfn.CONCAT($I$17,"[RPM]"))-$R71*60/2/$C$6)),ABS(INDIRECT(_xlfn.CONCAT($I$17,"[RPM]"))-$R71*60/2/$C$6),0))*100),$J$17,$K$17,$L$17,$C$2,$N$17,$Q71))-$O$17)*$C$8</f>
        <v>0.15093008428313226</v>
      </c>
      <c r="W71" s="7" t="e" cm="1">
        <f t="array" aca="1" ref="W71" ca="1">(_xlfn.SINGLE(SingleCoilTorque($F$18,$G$18,IF($I$18="",$H$18,INDEX(INDIRECT(_xlfn.CONCAT($I$18,"[Torque]")),MATCH(MIN(ABS(INDIRECT(_xlfn.CONCAT($I$18,"[RPM]"))-$R71*60/2/$C$6)),ABS(INDIRECT(_xlfn.CONCAT($I$18,"[RPM]"))-$R71*60/2/$C$6),0))*100),$J$18,$K$18,$L$18,$C$2,$N$18,$Q71))-$O$18)*$C$8</f>
        <v>#VALUE!</v>
      </c>
      <c r="X71" s="7" t="e" cm="1">
        <f t="array" aca="1" ref="X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Y71" s="7" t="e" cm="1">
        <f t="array" aca="1" ref="Y71" ca="1">(_xlfn.SINGLE(SingleCoilTorque($F$20,$G$20,IF($I$20="",$H$20,INDEX(INDIRECT(_xlfn.CONCAT($I$20,"[Torque]")),MATCH(MIN(ABS(INDIRECT(_xlfn.CONCAT($I$20,"[RPM]"))-$R71*60/2/$C$6)),ABS(INDIRECT(_xlfn.CONCAT($I$20,"[RPM]"))-$R71*60/2/$C$6),0))*100),$J$20,$K$20,$L$20,$C$2,$N$20,$Q71))-$O$20)*$C$8</f>
        <v>#VALUE!</v>
      </c>
      <c r="Z71" s="7" t="e" cm="1">
        <f t="array" aca="1" ref="Z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A71" s="7" t="e" cm="1">
        <f t="array" aca="1" ref="AA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B71" s="7" t="e" cm="1">
        <f t="array" aca="1" ref="AB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C71" s="7" t="e" cm="1">
        <f t="array" aca="1" ref="AC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D71" s="7" t="e" cm="1">
        <f t="array" aca="1" ref="AD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E71" s="7" t="e" cm="1">
        <f t="array" aca="1" ref="AE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F71" s="7" t="e" cm="1">
        <f t="array" aca="1" ref="AF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G71" s="7" t="e" cm="1">
        <f t="array" aca="1" ref="AG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H71" s="7" t="e" cm="1">
        <f t="array" aca="1" ref="AH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I71" s="7" t="e" cm="1">
        <f t="array" aca="1" ref="AI71" ca="1">(_xlfn.SINGLE(SingleCoilTorque($F$19,$G$19,IF($I$19="",$H$19,INDEX(INDIRECT(_xlfn.CONCAT($I$19,"[Torque]")),MATCH(MIN(ABS(INDIRECT(_xlfn.CONCAT($I$19,"[RPM]"))-$R71*60/2/$C$6)),ABS(INDIRECT(_xlfn.CONCAT($I$19,"[RPM]"))-$R71*60/2/$C$6),0))*100),$J$19,$K$19,$L$19,$C$2,$N$19,$Q71))-$O$19)*$C$8</f>
        <v>#VALUE!</v>
      </c>
      <c r="AJ71" s="7">
        <f t="shared" si="9"/>
        <v>23.8732414637843</v>
      </c>
      <c r="AL71">
        <f t="shared" si="10"/>
        <v>1360</v>
      </c>
      <c r="AM71" s="7">
        <f>StepperPower($F$15,$G$15,$H$15,$J$15,$K$15,$L$15,$C$2,$N$15,$Q71)</f>
        <v>17.359052954172022</v>
      </c>
      <c r="AN71" s="7">
        <f>StepperPower($F$16,$G$16,$H$16,$J$16,$K$16,$L$16,$C$2,$N$16,$Q71)</f>
        <v>24.048713547815158</v>
      </c>
      <c r="AO71" s="7">
        <f>StepperPower($F$17,$G$17,$H$17,$J$17,$K$17,$L$17,$C$2,$N$17,$Q71)</f>
        <v>0</v>
      </c>
      <c r="AP71" s="7" t="e">
        <f>StepperPower($F$18,$G$18,$H$18,$J$18,$K$18,$L$18,$C$2,$N$18,$Q71)</f>
        <v>#VALUE!</v>
      </c>
      <c r="AQ71" s="7" t="e">
        <f>StepperPower($F$19,$G$19,$H$19,$J$19,$K$19,$L$19,$C$2,$N$19,$Q71)</f>
        <v>#VALUE!</v>
      </c>
      <c r="AR71" s="7" t="e">
        <f>StepperPower($F$20,$G$20,$H$20,$J$20,$K$20,$L$20,$C$2,$N$20,$Q71)</f>
        <v>#VALUE!</v>
      </c>
      <c r="AS71" s="7" t="e">
        <f>StepperPower($F$21,$G$21,$H$21,$J$21,$K$21,$L$21,$C$2,$N$21,$Q71)</f>
        <v>#VALUE!</v>
      </c>
      <c r="AT71" s="7" t="e">
        <f>StepperPower($F$22,$G$22,$H$22,$J$22,$K$22,$L$22,$C$2,$N$22,$Q71)</f>
        <v>#VALUE!</v>
      </c>
      <c r="AU71" s="7" t="e">
        <f>StepperPower($F$23,$G$23,$H$23,$J$23,$K$23,$L$23,$C$2,$N$23,$Q71)</f>
        <v>#VALUE!</v>
      </c>
      <c r="AV71" s="7" t="e">
        <f>StepperPower($F$24,$G$24,$H$24,$J$24,$K$24,$L$24,$C$2,$N$24,$Q71)</f>
        <v>#VALUE!</v>
      </c>
      <c r="AW71" s="7" t="e">
        <f>StepperPower($F$25,$G$25,$H$25,$J$25,$K$25,$L$25,$C$2,$N$25,$Q71)</f>
        <v>#VALUE!</v>
      </c>
      <c r="AX71" s="7" t="e">
        <f>StepperPower($F$26,$G$26,$H$26,$J$26,$K$26,$L$26,$C$2,$N$26,$Q71)</f>
        <v>#VALUE!</v>
      </c>
      <c r="AY71" s="7" t="e">
        <f>StepperPower($F$27,$G$27,$H$27,$J$27,$K$27,$L$27,$C$2,$N$27,$Q71)</f>
        <v>#VALUE!</v>
      </c>
      <c r="AZ71" s="7" t="e">
        <f>StepperPower($F$28,$G$28,$H$28,$J$28,$K$28,$L$28,$C$2,$N$28,$Q71)</f>
        <v>#VALUE!</v>
      </c>
      <c r="BA71" s="7" t="e">
        <f>StepperPower($F$29,$G$29,$H$29,$J$29,$K$29,$L$29,$C$2,$N$29,$Q71)</f>
        <v>#VALUE!</v>
      </c>
      <c r="BB71" s="7" t="e">
        <f>StepperPower($F$30,$G$30,$H$30,$J$30,$K$30,$L$30,$C$2,$N$30,$Q71)</f>
        <v>#VALUE!</v>
      </c>
      <c r="BC71" s="7"/>
    </row>
    <row r="72" spans="17:55" x14ac:dyDescent="0.25">
      <c r="Q72">
        <f t="shared" si="11"/>
        <v>34.5</v>
      </c>
      <c r="R72">
        <f t="shared" si="8"/>
        <v>1380</v>
      </c>
      <c r="T72" s="7" cm="1">
        <f t="array" aca="1" ref="T72" ca="1">(_xlfn.SINGLE(SingleCoilTorque($F$15,$G$15,IF($I$15="",$H$15,INDEX(INDIRECT(_xlfn.CONCAT($I$15,"[Torque]")),MATCH(MIN(ABS(INDIRECT(_xlfn.CONCAT($I$15,"[RPM]"))-$R72*60/2/$C$6)),ABS(INDIRECT(_xlfn.CONCAT($I$15,"[RPM]"))-$R72*60/2/$C$6),0))*100),$J$15,$K$15,$L$15,$C$2,$N$15,$Q72))-$O$15)*$C$8</f>
        <v>7.0694654885564665</v>
      </c>
      <c r="U72" s="7" cm="1">
        <f t="array" aca="1" ref="U72" ca="1">(_xlfn.SINGLE(SingleCoilTorque($F$16,$G$16,IF($I$16="",$H$16,INDEX(INDIRECT(_xlfn.CONCAT($I$16,"[Torque]")),MATCH(MIN(ABS(INDIRECT(_xlfn.CONCAT($I$16,"[RPM]"))-$R72*60/2/$C$6)),ABS(INDIRECT(_xlfn.CONCAT($I$16,"[RPM]"))-$R72*60/2/$C$6),0))*100),$J$16,$K$16,$L$16,$C$2,$N$16,$Q72))-$O$16)*$C$8</f>
        <v>11.633436394989781</v>
      </c>
      <c r="V72" s="7" cm="1">
        <f t="array" aca="1" ref="V72" ca="1">(_xlfn.SINGLE(SingleCoilTorque($F$17,$G$17,IF($I$17="",$H$17,INDEX(INDIRECT(_xlfn.CONCAT($I$17,"[Torque]")),MATCH(MIN(ABS(INDIRECT(_xlfn.CONCAT($I$17,"[RPM]"))-$R72*60/2/$C$6)),ABS(INDIRECT(_xlfn.CONCAT($I$17,"[RPM]"))-$R72*60/2/$C$6),0))*100),$J$17,$K$17,$L$17,$C$2,$N$17,$Q72))-$O$17)*$C$8</f>
        <v>-0.43799948124680271</v>
      </c>
      <c r="W72" s="7" t="e" cm="1">
        <f t="array" aca="1" ref="W72" ca="1">(_xlfn.SINGLE(SingleCoilTorque($F$18,$G$18,IF($I$18="",$H$18,INDEX(INDIRECT(_xlfn.CONCAT($I$18,"[Torque]")),MATCH(MIN(ABS(INDIRECT(_xlfn.CONCAT($I$18,"[RPM]"))-$R72*60/2/$C$6)),ABS(INDIRECT(_xlfn.CONCAT($I$18,"[RPM]"))-$R72*60/2/$C$6),0))*100),$J$18,$K$18,$L$18,$C$2,$N$18,$Q72))-$O$18)*$C$8</f>
        <v>#VALUE!</v>
      </c>
      <c r="X72" s="7" t="e" cm="1">
        <f t="array" aca="1" ref="X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Y72" s="7" t="e" cm="1">
        <f t="array" aca="1" ref="Y72" ca="1">(_xlfn.SINGLE(SingleCoilTorque($F$20,$G$20,IF($I$20="",$H$20,INDEX(INDIRECT(_xlfn.CONCAT($I$20,"[Torque]")),MATCH(MIN(ABS(INDIRECT(_xlfn.CONCAT($I$20,"[RPM]"))-$R72*60/2/$C$6)),ABS(INDIRECT(_xlfn.CONCAT($I$20,"[RPM]"))-$R72*60/2/$C$6),0))*100),$J$20,$K$20,$L$20,$C$2,$N$20,$Q72))-$O$20)*$C$8</f>
        <v>#VALUE!</v>
      </c>
      <c r="Z72" s="7" t="e" cm="1">
        <f t="array" aca="1" ref="Z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A72" s="7" t="e" cm="1">
        <f t="array" aca="1" ref="AA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B72" s="7" t="e" cm="1">
        <f t="array" aca="1" ref="AB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C72" s="7" t="e" cm="1">
        <f t="array" aca="1" ref="AC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D72" s="7" t="e" cm="1">
        <f t="array" aca="1" ref="AD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E72" s="7" t="e" cm="1">
        <f t="array" aca="1" ref="AE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F72" s="7" t="e" cm="1">
        <f t="array" aca="1" ref="AF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G72" s="7" t="e" cm="1">
        <f t="array" aca="1" ref="AG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H72" s="7" t="e" cm="1">
        <f t="array" aca="1" ref="AH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I72" s="7" t="e" cm="1">
        <f t="array" aca="1" ref="AI72" ca="1">(_xlfn.SINGLE(SingleCoilTorque($F$19,$G$19,IF($I$19="",$H$19,INDEX(INDIRECT(_xlfn.CONCAT($I$19,"[Torque]")),MATCH(MIN(ABS(INDIRECT(_xlfn.CONCAT($I$19,"[RPM]"))-$R72*60/2/$C$6)),ABS(INDIRECT(_xlfn.CONCAT($I$19,"[RPM]"))-$R72*60/2/$C$6),0))*100),$J$19,$K$19,$L$19,$C$2,$N$19,$Q72))-$O$19)*$C$8</f>
        <v>#VALUE!</v>
      </c>
      <c r="AJ72" s="7">
        <f t="shared" si="9"/>
        <v>23.8732414637843</v>
      </c>
      <c r="AL72">
        <f t="shared" si="10"/>
        <v>1380</v>
      </c>
      <c r="AM72" s="7">
        <f>StepperPower($F$15,$G$15,$H$15,$J$15,$K$15,$L$15,$C$2,$N$15,$Q72)</f>
        <v>16.021257562674723</v>
      </c>
      <c r="AN72" s="7">
        <f>StepperPower($F$16,$G$16,$H$16,$J$16,$K$16,$L$16,$C$2,$N$16,$Q72)</f>
        <v>22.946827660507601</v>
      </c>
      <c r="AO72" s="7">
        <f>StepperPower($F$17,$G$17,$H$17,$J$17,$K$17,$L$17,$C$2,$N$17,$Q72)</f>
        <v>0</v>
      </c>
      <c r="AP72" s="7" t="e">
        <f>StepperPower($F$18,$G$18,$H$18,$J$18,$K$18,$L$18,$C$2,$N$18,$Q72)</f>
        <v>#VALUE!</v>
      </c>
      <c r="AQ72" s="7" t="e">
        <f>StepperPower($F$19,$G$19,$H$19,$J$19,$K$19,$L$19,$C$2,$N$19,$Q72)</f>
        <v>#VALUE!</v>
      </c>
      <c r="AR72" s="7" t="e">
        <f>StepperPower($F$20,$G$20,$H$20,$J$20,$K$20,$L$20,$C$2,$N$20,$Q72)</f>
        <v>#VALUE!</v>
      </c>
      <c r="AS72" s="7" t="e">
        <f>StepperPower($F$21,$G$21,$H$21,$J$21,$K$21,$L$21,$C$2,$N$21,$Q72)</f>
        <v>#VALUE!</v>
      </c>
      <c r="AT72" s="7" t="e">
        <f>StepperPower($F$22,$G$22,$H$22,$J$22,$K$22,$L$22,$C$2,$N$22,$Q72)</f>
        <v>#VALUE!</v>
      </c>
      <c r="AU72" s="7" t="e">
        <f>StepperPower($F$23,$G$23,$H$23,$J$23,$K$23,$L$23,$C$2,$N$23,$Q72)</f>
        <v>#VALUE!</v>
      </c>
      <c r="AV72" s="7" t="e">
        <f>StepperPower($F$24,$G$24,$H$24,$J$24,$K$24,$L$24,$C$2,$N$24,$Q72)</f>
        <v>#VALUE!</v>
      </c>
      <c r="AW72" s="7" t="e">
        <f>StepperPower($F$25,$G$25,$H$25,$J$25,$K$25,$L$25,$C$2,$N$25,$Q72)</f>
        <v>#VALUE!</v>
      </c>
      <c r="AX72" s="7" t="e">
        <f>StepperPower($F$26,$G$26,$H$26,$J$26,$K$26,$L$26,$C$2,$N$26,$Q72)</f>
        <v>#VALUE!</v>
      </c>
      <c r="AY72" s="7" t="e">
        <f>StepperPower($F$27,$G$27,$H$27,$J$27,$K$27,$L$27,$C$2,$N$27,$Q72)</f>
        <v>#VALUE!</v>
      </c>
      <c r="AZ72" s="7" t="e">
        <f>StepperPower($F$28,$G$28,$H$28,$J$28,$K$28,$L$28,$C$2,$N$28,$Q72)</f>
        <v>#VALUE!</v>
      </c>
      <c r="BA72" s="7" t="e">
        <f>StepperPower($F$29,$G$29,$H$29,$J$29,$K$29,$L$29,$C$2,$N$29,$Q72)</f>
        <v>#VALUE!</v>
      </c>
      <c r="BB72" s="7" t="e">
        <f>StepperPower($F$30,$G$30,$H$30,$J$30,$K$30,$L$30,$C$2,$N$30,$Q72)</f>
        <v>#VALUE!</v>
      </c>
      <c r="BC72" s="7"/>
    </row>
    <row r="73" spans="17:55" x14ac:dyDescent="0.25">
      <c r="Q73">
        <f t="shared" si="11"/>
        <v>35</v>
      </c>
      <c r="R73">
        <f t="shared" si="8"/>
        <v>1400</v>
      </c>
      <c r="T73" s="7" cm="1">
        <f t="array" aca="1" ref="T73" ca="1">(_xlfn.SINGLE(SingleCoilTorque($F$15,$G$15,IF($I$15="",$H$15,INDEX(INDIRECT(_xlfn.CONCAT($I$15,"[Torque]")),MATCH(MIN(ABS(INDIRECT(_xlfn.CONCAT($I$15,"[RPM]"))-$R73*60/2/$C$6)),ABS(INDIRECT(_xlfn.CONCAT($I$15,"[RPM]"))-$R73*60/2/$C$6),0))*100),$J$15,$K$15,$L$15,$C$2,$N$15,$Q73))-$O$15)*$C$8</f>
        <v>6.6811521887071565</v>
      </c>
      <c r="U73" s="7" cm="1">
        <f t="array" aca="1" ref="U73" ca="1">(_xlfn.SINGLE(SingleCoilTorque($F$16,$G$16,IF($I$16="",$H$16,INDEX(INDIRECT(_xlfn.CONCAT($I$16,"[Torque]")),MATCH(MIN(ABS(INDIRECT(_xlfn.CONCAT($I$16,"[RPM]"))-$R73*60/2/$C$6)),ABS(INDIRECT(_xlfn.CONCAT($I$16,"[RPM]"))-$R73*60/2/$C$6),0))*100),$J$16,$K$16,$L$16,$C$2,$N$16,$Q73))-$O$16)*$C$8</f>
        <v>11.205330615767602</v>
      </c>
      <c r="V73" s="7" cm="1">
        <f t="array" aca="1" ref="V73" ca="1">(_xlfn.SINGLE(SingleCoilTorque($F$17,$G$17,IF($I$17="",$H$17,INDEX(INDIRECT(_xlfn.CONCAT($I$17,"[Torque]")),MATCH(MIN(ABS(INDIRECT(_xlfn.CONCAT($I$17,"[RPM]"))-$R73*60/2/$C$6)),ABS(INDIRECT(_xlfn.CONCAT($I$17,"[RPM]"))-$R73*60/2/$C$6),0))*100),$J$17,$K$17,$L$17,$C$2,$N$17,$Q73))-$O$17)*$C$8</f>
        <v>-0.70682465677071782</v>
      </c>
      <c r="W73" s="7" t="e" cm="1">
        <f t="array" aca="1" ref="W73" ca="1">(_xlfn.SINGLE(SingleCoilTorque($F$18,$G$18,IF($I$18="",$H$18,INDEX(INDIRECT(_xlfn.CONCAT($I$18,"[Torque]")),MATCH(MIN(ABS(INDIRECT(_xlfn.CONCAT($I$18,"[RPM]"))-$R73*60/2/$C$6)),ABS(INDIRECT(_xlfn.CONCAT($I$18,"[RPM]"))-$R73*60/2/$C$6),0))*100),$J$18,$K$18,$L$18,$C$2,$N$18,$Q73))-$O$18)*$C$8</f>
        <v>#VALUE!</v>
      </c>
      <c r="X73" s="7" t="e" cm="1">
        <f t="array" aca="1" ref="X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Y73" s="7" t="e" cm="1">
        <f t="array" aca="1" ref="Y73" ca="1">(_xlfn.SINGLE(SingleCoilTorque($F$20,$G$20,IF($I$20="",$H$20,INDEX(INDIRECT(_xlfn.CONCAT($I$20,"[Torque]")),MATCH(MIN(ABS(INDIRECT(_xlfn.CONCAT($I$20,"[RPM]"))-$R73*60/2/$C$6)),ABS(INDIRECT(_xlfn.CONCAT($I$20,"[RPM]"))-$R73*60/2/$C$6),0))*100),$J$20,$K$20,$L$20,$C$2,$N$20,$Q73))-$O$20)*$C$8</f>
        <v>#VALUE!</v>
      </c>
      <c r="Z73" s="7" t="e" cm="1">
        <f t="array" aca="1" ref="Z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A73" s="7" t="e" cm="1">
        <f t="array" aca="1" ref="AA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B73" s="7" t="e" cm="1">
        <f t="array" aca="1" ref="AB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C73" s="7" t="e" cm="1">
        <f t="array" aca="1" ref="AC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D73" s="7" t="e" cm="1">
        <f t="array" aca="1" ref="AD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E73" s="7" t="e" cm="1">
        <f t="array" aca="1" ref="AE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F73" s="7" t="e" cm="1">
        <f t="array" aca="1" ref="AF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G73" s="7" t="e" cm="1">
        <f t="array" aca="1" ref="AG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H73" s="7" t="e" cm="1">
        <f t="array" aca="1" ref="AH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I73" s="7" t="e" cm="1">
        <f t="array" aca="1" ref="AI73" ca="1">(_xlfn.SINGLE(SingleCoilTorque($F$19,$G$19,IF($I$19="",$H$19,INDEX(INDIRECT(_xlfn.CONCAT($I$19,"[Torque]")),MATCH(MIN(ABS(INDIRECT(_xlfn.CONCAT($I$19,"[RPM]"))-$R73*60/2/$C$6)),ABS(INDIRECT(_xlfn.CONCAT($I$19,"[RPM]"))-$R73*60/2/$C$6),0))*100),$J$19,$K$19,$L$19,$C$2,$N$19,$Q73))-$O$19)*$C$8</f>
        <v>#VALUE!</v>
      </c>
      <c r="AJ73" s="7">
        <f t="shared" si="9"/>
        <v>23.8732414637843</v>
      </c>
      <c r="AL73">
        <f t="shared" si="10"/>
        <v>1400</v>
      </c>
      <c r="AM73" s="7">
        <f>StepperPower($F$15,$G$15,$H$15,$J$15,$K$15,$L$15,$C$2,$N$15,$Q73)</f>
        <v>14.684664285604159</v>
      </c>
      <c r="AN73" s="7">
        <f>StepperPower($F$16,$G$16,$H$16,$J$16,$K$16,$L$16,$C$2,$N$16,$Q73)</f>
        <v>21.84666642616002</v>
      </c>
      <c r="AO73" s="7">
        <f>StepperPower($F$17,$G$17,$H$17,$J$17,$K$17,$L$17,$C$2,$N$17,$Q73)</f>
        <v>0</v>
      </c>
      <c r="AP73" s="7" t="e">
        <f>StepperPower($F$18,$G$18,$H$18,$J$18,$K$18,$L$18,$C$2,$N$18,$Q73)</f>
        <v>#VALUE!</v>
      </c>
      <c r="AQ73" s="7" t="e">
        <f>StepperPower($F$19,$G$19,$H$19,$J$19,$K$19,$L$19,$C$2,$N$19,$Q73)</f>
        <v>#VALUE!</v>
      </c>
      <c r="AR73" s="7" t="e">
        <f>StepperPower($F$20,$G$20,$H$20,$J$20,$K$20,$L$20,$C$2,$N$20,$Q73)</f>
        <v>#VALUE!</v>
      </c>
      <c r="AS73" s="7" t="e">
        <f>StepperPower($F$21,$G$21,$H$21,$J$21,$K$21,$L$21,$C$2,$N$21,$Q73)</f>
        <v>#VALUE!</v>
      </c>
      <c r="AT73" s="7" t="e">
        <f>StepperPower($F$22,$G$22,$H$22,$J$22,$K$22,$L$22,$C$2,$N$22,$Q73)</f>
        <v>#VALUE!</v>
      </c>
      <c r="AU73" s="7" t="e">
        <f>StepperPower($F$23,$G$23,$H$23,$J$23,$K$23,$L$23,$C$2,$N$23,$Q73)</f>
        <v>#VALUE!</v>
      </c>
      <c r="AV73" s="7" t="e">
        <f>StepperPower($F$24,$G$24,$H$24,$J$24,$K$24,$L$24,$C$2,$N$24,$Q73)</f>
        <v>#VALUE!</v>
      </c>
      <c r="AW73" s="7" t="e">
        <f>StepperPower($F$25,$G$25,$H$25,$J$25,$K$25,$L$25,$C$2,$N$25,$Q73)</f>
        <v>#VALUE!</v>
      </c>
      <c r="AX73" s="7" t="e">
        <f>StepperPower($F$26,$G$26,$H$26,$J$26,$K$26,$L$26,$C$2,$N$26,$Q73)</f>
        <v>#VALUE!</v>
      </c>
      <c r="AY73" s="7" t="e">
        <f>StepperPower($F$27,$G$27,$H$27,$J$27,$K$27,$L$27,$C$2,$N$27,$Q73)</f>
        <v>#VALUE!</v>
      </c>
      <c r="AZ73" s="7" t="e">
        <f>StepperPower($F$28,$G$28,$H$28,$J$28,$K$28,$L$28,$C$2,$N$28,$Q73)</f>
        <v>#VALUE!</v>
      </c>
      <c r="BA73" s="7" t="e">
        <f>StepperPower($F$29,$G$29,$H$29,$J$29,$K$29,$L$29,$C$2,$N$29,$Q73)</f>
        <v>#VALUE!</v>
      </c>
      <c r="BB73" s="7" t="e">
        <f>StepperPower($F$30,$G$30,$H$30,$J$30,$K$30,$L$30,$C$2,$N$30,$Q73)</f>
        <v>#VALUE!</v>
      </c>
      <c r="BC73" s="7"/>
    </row>
    <row r="74" spans="17:55" x14ac:dyDescent="0.25">
      <c r="Q74">
        <f t="shared" si="11"/>
        <v>35.5</v>
      </c>
      <c r="R74">
        <f t="shared" si="8"/>
        <v>1420</v>
      </c>
      <c r="T74" s="7" cm="1">
        <f t="array" aca="1" ref="T74" ca="1">(_xlfn.SINGLE(SingleCoilTorque($F$15,$G$15,IF($I$15="",$H$15,INDEX(INDIRECT(_xlfn.CONCAT($I$15,"[Torque]")),MATCH(MIN(ABS(INDIRECT(_xlfn.CONCAT($I$15,"[RPM]"))-$R74*60/2/$C$6)),ABS(INDIRECT(_xlfn.CONCAT($I$15,"[RPM]"))-$R74*60/2/$C$6),0))*100),$J$15,$K$15,$L$15,$C$2,$N$15,$Q74))-$O$15)*$C$8</f>
        <v>6.3031968116584558</v>
      </c>
      <c r="U74" s="7" cm="1">
        <f t="array" aca="1" ref="U74" ca="1">(_xlfn.SINGLE(SingleCoilTorque($F$16,$G$16,IF($I$16="",$H$16,INDEX(INDIRECT(_xlfn.CONCAT($I$16,"[Torque]")),MATCH(MIN(ABS(INDIRECT(_xlfn.CONCAT($I$16,"[RPM]"))-$R74*60/2/$C$6)),ABS(INDIRECT(_xlfn.CONCAT($I$16,"[RPM]"))-$R74*60/2/$C$6),0))*100),$J$16,$K$16,$L$16,$C$2,$N$16,$Q74))-$O$16)*$C$8</f>
        <v>10.788705113079017</v>
      </c>
      <c r="V74" s="7" cm="1">
        <f t="array" aca="1" ref="V74" ca="1">(_xlfn.SINGLE(SingleCoilTorque($F$17,$G$17,IF($I$17="",$H$17,INDEX(INDIRECT(_xlfn.CONCAT($I$17,"[Torque]")),MATCH(MIN(ABS(INDIRECT(_xlfn.CONCAT($I$17,"[RPM]"))-$R74*60/2/$C$6)),ABS(INDIRECT(_xlfn.CONCAT($I$17,"[RPM]"))-$R74*60/2/$C$6),0))*100),$J$17,$K$17,$L$17,$C$2,$N$17,$Q74))-$O$17)*$C$8</f>
        <v>-0.96835002334636622</v>
      </c>
      <c r="W74" s="7" t="e" cm="1">
        <f t="array" aca="1" ref="W74" ca="1">(_xlfn.SINGLE(SingleCoilTorque($F$18,$G$18,IF($I$18="",$H$18,INDEX(INDIRECT(_xlfn.CONCAT($I$18,"[Torque]")),MATCH(MIN(ABS(INDIRECT(_xlfn.CONCAT($I$18,"[RPM]"))-$R74*60/2/$C$6)),ABS(INDIRECT(_xlfn.CONCAT($I$18,"[RPM]"))-$R74*60/2/$C$6),0))*100),$J$18,$K$18,$L$18,$C$2,$N$18,$Q74))-$O$18)*$C$8</f>
        <v>#VALUE!</v>
      </c>
      <c r="X74" s="7" t="e" cm="1">
        <f t="array" aca="1" ref="X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Y74" s="7" t="e" cm="1">
        <f t="array" aca="1" ref="Y74" ca="1">(_xlfn.SINGLE(SingleCoilTorque($F$20,$G$20,IF($I$20="",$H$20,INDEX(INDIRECT(_xlfn.CONCAT($I$20,"[Torque]")),MATCH(MIN(ABS(INDIRECT(_xlfn.CONCAT($I$20,"[RPM]"))-$R74*60/2/$C$6)),ABS(INDIRECT(_xlfn.CONCAT($I$20,"[RPM]"))-$R74*60/2/$C$6),0))*100),$J$20,$K$20,$L$20,$C$2,$N$20,$Q74))-$O$20)*$C$8</f>
        <v>#VALUE!</v>
      </c>
      <c r="Z74" s="7" t="e" cm="1">
        <f t="array" aca="1" ref="Z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A74" s="7" t="e" cm="1">
        <f t="array" aca="1" ref="AA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B74" s="7" t="e" cm="1">
        <f t="array" aca="1" ref="AB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C74" s="7" t="e" cm="1">
        <f t="array" aca="1" ref="AC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D74" s="7" t="e" cm="1">
        <f t="array" aca="1" ref="AD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E74" s="7" t="e" cm="1">
        <f t="array" aca="1" ref="AE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F74" s="7" t="e" cm="1">
        <f t="array" aca="1" ref="AF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G74" s="7" t="e" cm="1">
        <f t="array" aca="1" ref="AG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H74" s="7" t="e" cm="1">
        <f t="array" aca="1" ref="AH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I74" s="7" t="e" cm="1">
        <f t="array" aca="1" ref="AI74" ca="1">(_xlfn.SINGLE(SingleCoilTorque($F$19,$G$19,IF($I$19="",$H$19,INDEX(INDIRECT(_xlfn.CONCAT($I$19,"[Torque]")),MATCH(MIN(ABS(INDIRECT(_xlfn.CONCAT($I$19,"[RPM]"))-$R74*60/2/$C$6)),ABS(INDIRECT(_xlfn.CONCAT($I$19,"[RPM]"))-$R74*60/2/$C$6),0))*100),$J$19,$K$19,$L$19,$C$2,$N$19,$Q74))-$O$19)*$C$8</f>
        <v>#VALUE!</v>
      </c>
      <c r="AJ74" s="7">
        <f t="shared" si="9"/>
        <v>23.8732414637843</v>
      </c>
      <c r="AL74">
        <f t="shared" si="10"/>
        <v>1420</v>
      </c>
      <c r="AM74" s="7">
        <f>StepperPower($F$15,$G$15,$H$15,$J$15,$K$15,$L$15,$C$2,$N$15,$Q74)</f>
        <v>13.34911476130609</v>
      </c>
      <c r="AN74" s="7">
        <f>StepperPower($F$16,$G$16,$H$16,$J$16,$K$16,$L$16,$C$2,$N$16,$Q74)</f>
        <v>20.748060319045841</v>
      </c>
      <c r="AO74" s="7">
        <f>StepperPower($F$17,$G$17,$H$17,$J$17,$K$17,$L$17,$C$2,$N$17,$Q74)</f>
        <v>0</v>
      </c>
      <c r="AP74" s="7" t="e">
        <f>StepperPower($F$18,$G$18,$H$18,$J$18,$K$18,$L$18,$C$2,$N$18,$Q74)</f>
        <v>#VALUE!</v>
      </c>
      <c r="AQ74" s="7" t="e">
        <f>StepperPower($F$19,$G$19,$H$19,$J$19,$K$19,$L$19,$C$2,$N$19,$Q74)</f>
        <v>#VALUE!</v>
      </c>
      <c r="AR74" s="7" t="e">
        <f>StepperPower($F$20,$G$20,$H$20,$J$20,$K$20,$L$20,$C$2,$N$20,$Q74)</f>
        <v>#VALUE!</v>
      </c>
      <c r="AS74" s="7" t="e">
        <f>StepperPower($F$21,$G$21,$H$21,$J$21,$K$21,$L$21,$C$2,$N$21,$Q74)</f>
        <v>#VALUE!</v>
      </c>
      <c r="AT74" s="7" t="e">
        <f>StepperPower($F$22,$G$22,$H$22,$J$22,$K$22,$L$22,$C$2,$N$22,$Q74)</f>
        <v>#VALUE!</v>
      </c>
      <c r="AU74" s="7" t="e">
        <f>StepperPower($F$23,$G$23,$H$23,$J$23,$K$23,$L$23,$C$2,$N$23,$Q74)</f>
        <v>#VALUE!</v>
      </c>
      <c r="AV74" s="7" t="e">
        <f>StepperPower($F$24,$G$24,$H$24,$J$24,$K$24,$L$24,$C$2,$N$24,$Q74)</f>
        <v>#VALUE!</v>
      </c>
      <c r="AW74" s="7" t="e">
        <f>StepperPower($F$25,$G$25,$H$25,$J$25,$K$25,$L$25,$C$2,$N$25,$Q74)</f>
        <v>#VALUE!</v>
      </c>
      <c r="AX74" s="7" t="e">
        <f>StepperPower($F$26,$G$26,$H$26,$J$26,$K$26,$L$26,$C$2,$N$26,$Q74)</f>
        <v>#VALUE!</v>
      </c>
      <c r="AY74" s="7" t="e">
        <f>StepperPower($F$27,$G$27,$H$27,$J$27,$K$27,$L$27,$C$2,$N$27,$Q74)</f>
        <v>#VALUE!</v>
      </c>
      <c r="AZ74" s="7" t="e">
        <f>StepperPower($F$28,$G$28,$H$28,$J$28,$K$28,$L$28,$C$2,$N$28,$Q74)</f>
        <v>#VALUE!</v>
      </c>
      <c r="BA74" s="7" t="e">
        <f>StepperPower($F$29,$G$29,$H$29,$J$29,$K$29,$L$29,$C$2,$N$29,$Q74)</f>
        <v>#VALUE!</v>
      </c>
      <c r="BB74" s="7" t="e">
        <f>StepperPower($F$30,$G$30,$H$30,$J$30,$K$30,$L$30,$C$2,$N$30,$Q74)</f>
        <v>#VALUE!</v>
      </c>
      <c r="BC74" s="7"/>
    </row>
    <row r="75" spans="17:55" x14ac:dyDescent="0.25">
      <c r="Q75">
        <f t="shared" si="11"/>
        <v>36</v>
      </c>
      <c r="R75">
        <f t="shared" si="8"/>
        <v>1440</v>
      </c>
      <c r="T75" s="7" cm="1">
        <f t="array" aca="1" ref="T75" ca="1">(_xlfn.SINGLE(SingleCoilTorque($F$15,$G$15,IF($I$15="",$H$15,INDEX(INDIRECT(_xlfn.CONCAT($I$15,"[Torque]")),MATCH(MIN(ABS(INDIRECT(_xlfn.CONCAT($I$15,"[RPM]"))-$R75*60/2/$C$6)),ABS(INDIRECT(_xlfn.CONCAT($I$15,"[RPM]"))-$R75*60/2/$C$6),0))*100),$J$15,$K$15,$L$15,$C$2,$N$15,$Q75))-$O$15)*$C$8</f>
        <v>5.9351903789806357</v>
      </c>
      <c r="U75" s="7" cm="1">
        <f t="array" aca="1" ref="U75" ca="1">(_xlfn.SINGLE(SingleCoilTorque($F$16,$G$16,IF($I$16="",$H$16,INDEX(INDIRECT(_xlfn.CONCAT($I$16,"[Torque]")),MATCH(MIN(ABS(INDIRECT(_xlfn.CONCAT($I$16,"[RPM]"))-$R75*60/2/$C$6)),ABS(INDIRECT(_xlfn.CONCAT($I$16,"[RPM]"))-$R75*60/2/$C$6),0))*100),$J$16,$K$16,$L$16,$C$2,$N$16,$Q75))-$O$16)*$C$8</f>
        <v>10.092600313736492</v>
      </c>
      <c r="V75" s="7" cm="1">
        <f t="array" aca="1" ref="V75" ca="1">(_xlfn.SINGLE(SingleCoilTorque($F$17,$G$17,IF($I$17="",$H$17,INDEX(INDIRECT(_xlfn.CONCAT($I$17,"[Torque]")),MATCH(MIN(ABS(INDIRECT(_xlfn.CONCAT($I$17,"[RPM]"))-$R75*60/2/$C$6)),ABS(INDIRECT(_xlfn.CONCAT($I$17,"[RPM]"))-$R75*60/2/$C$6),0))*100),$J$17,$K$17,$L$17,$C$2,$N$17,$Q75))-$O$17)*$C$8</f>
        <v>-1.3644554880466402</v>
      </c>
      <c r="W75" s="7" t="e" cm="1">
        <f t="array" aca="1" ref="W75" ca="1">(_xlfn.SINGLE(SingleCoilTorque($F$18,$G$18,IF($I$18="",$H$18,INDEX(INDIRECT(_xlfn.CONCAT($I$18,"[Torque]")),MATCH(MIN(ABS(INDIRECT(_xlfn.CONCAT($I$18,"[RPM]"))-$R75*60/2/$C$6)),ABS(INDIRECT(_xlfn.CONCAT($I$18,"[RPM]"))-$R75*60/2/$C$6),0))*100),$J$18,$K$18,$L$18,$C$2,$N$18,$Q75))-$O$18)*$C$8</f>
        <v>#VALUE!</v>
      </c>
      <c r="X75" s="7" t="e" cm="1">
        <f t="array" aca="1" ref="X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Y75" s="7" t="e" cm="1">
        <f t="array" aca="1" ref="Y75" ca="1">(_xlfn.SINGLE(SingleCoilTorque($F$20,$G$20,IF($I$20="",$H$20,INDEX(INDIRECT(_xlfn.CONCAT($I$20,"[Torque]")),MATCH(MIN(ABS(INDIRECT(_xlfn.CONCAT($I$20,"[RPM]"))-$R75*60/2/$C$6)),ABS(INDIRECT(_xlfn.CONCAT($I$20,"[RPM]"))-$R75*60/2/$C$6),0))*100),$J$20,$K$20,$L$20,$C$2,$N$20,$Q75))-$O$20)*$C$8</f>
        <v>#VALUE!</v>
      </c>
      <c r="Z75" s="7" t="e" cm="1">
        <f t="array" aca="1" ref="Z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A75" s="7" t="e" cm="1">
        <f t="array" aca="1" ref="AA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B75" s="7" t="e" cm="1">
        <f t="array" aca="1" ref="AB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C75" s="7" t="e" cm="1">
        <f t="array" aca="1" ref="AC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D75" s="7" t="e" cm="1">
        <f t="array" aca="1" ref="AD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E75" s="7" t="e" cm="1">
        <f t="array" aca="1" ref="AE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F75" s="7" t="e" cm="1">
        <f t="array" aca="1" ref="AF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G75" s="7" t="e" cm="1">
        <f t="array" aca="1" ref="AG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H75" s="7" t="e" cm="1">
        <f t="array" aca="1" ref="AH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I75" s="7" t="e" cm="1">
        <f t="array" aca="1" ref="AI75" ca="1">(_xlfn.SINGLE(SingleCoilTorque($F$19,$G$19,IF($I$19="",$H$19,INDEX(INDIRECT(_xlfn.CONCAT($I$19,"[Torque]")),MATCH(MIN(ABS(INDIRECT(_xlfn.CONCAT($I$19,"[RPM]"))-$R75*60/2/$C$6)),ABS(INDIRECT(_xlfn.CONCAT($I$19,"[RPM]"))-$R75*60/2/$C$6),0))*100),$J$19,$K$19,$L$19,$C$2,$N$19,$Q75))-$O$19)*$C$8</f>
        <v>#VALUE!</v>
      </c>
      <c r="AJ75" s="7">
        <f t="shared" si="9"/>
        <v>23.8732414637843</v>
      </c>
      <c r="AL75">
        <f t="shared" si="10"/>
        <v>1440</v>
      </c>
      <c r="AM75" s="7">
        <f>StepperPower($F$15,$G$15,$H$15,$J$15,$K$15,$L$15,$C$2,$N$15,$Q75)</f>
        <v>12.014464693805062</v>
      </c>
      <c r="AN75" s="7">
        <f>StepperPower($F$16,$G$16,$H$16,$J$16,$K$16,$L$16,$C$2,$N$16,$Q75)</f>
        <v>19.650854015549157</v>
      </c>
      <c r="AO75" s="7">
        <f>StepperPower($F$17,$G$17,$H$17,$J$17,$K$17,$L$17,$C$2,$N$17,$Q75)</f>
        <v>0</v>
      </c>
      <c r="AP75" s="7" t="e">
        <f>StepperPower($F$18,$G$18,$H$18,$J$18,$K$18,$L$18,$C$2,$N$18,$Q75)</f>
        <v>#VALUE!</v>
      </c>
      <c r="AQ75" s="7" t="e">
        <f>StepperPower($F$19,$G$19,$H$19,$J$19,$K$19,$L$19,$C$2,$N$19,$Q75)</f>
        <v>#VALUE!</v>
      </c>
      <c r="AR75" s="7" t="e">
        <f>StepperPower($F$20,$G$20,$H$20,$J$20,$K$20,$L$20,$C$2,$N$20,$Q75)</f>
        <v>#VALUE!</v>
      </c>
      <c r="AS75" s="7" t="e">
        <f>StepperPower($F$21,$G$21,$H$21,$J$21,$K$21,$L$21,$C$2,$N$21,$Q75)</f>
        <v>#VALUE!</v>
      </c>
      <c r="AT75" s="7" t="e">
        <f>StepperPower($F$22,$G$22,$H$22,$J$22,$K$22,$L$22,$C$2,$N$22,$Q75)</f>
        <v>#VALUE!</v>
      </c>
      <c r="AU75" s="7" t="e">
        <f>StepperPower($F$23,$G$23,$H$23,$J$23,$K$23,$L$23,$C$2,$N$23,$Q75)</f>
        <v>#VALUE!</v>
      </c>
      <c r="AV75" s="7" t="e">
        <f>StepperPower($F$24,$G$24,$H$24,$J$24,$K$24,$L$24,$C$2,$N$24,$Q75)</f>
        <v>#VALUE!</v>
      </c>
      <c r="AW75" s="7" t="e">
        <f>StepperPower($F$25,$G$25,$H$25,$J$25,$K$25,$L$25,$C$2,$N$25,$Q75)</f>
        <v>#VALUE!</v>
      </c>
      <c r="AX75" s="7" t="e">
        <f>StepperPower($F$26,$G$26,$H$26,$J$26,$K$26,$L$26,$C$2,$N$26,$Q75)</f>
        <v>#VALUE!</v>
      </c>
      <c r="AY75" s="7" t="e">
        <f>StepperPower($F$27,$G$27,$H$27,$J$27,$K$27,$L$27,$C$2,$N$27,$Q75)</f>
        <v>#VALUE!</v>
      </c>
      <c r="AZ75" s="7" t="e">
        <f>StepperPower($F$28,$G$28,$H$28,$J$28,$K$28,$L$28,$C$2,$N$28,$Q75)</f>
        <v>#VALUE!</v>
      </c>
      <c r="BA75" s="7" t="e">
        <f>StepperPower($F$29,$G$29,$H$29,$J$29,$K$29,$L$29,$C$2,$N$29,$Q75)</f>
        <v>#VALUE!</v>
      </c>
      <c r="BB75" s="7" t="e">
        <f>StepperPower($F$30,$G$30,$H$30,$J$30,$K$30,$L$30,$C$2,$N$30,$Q75)</f>
        <v>#VALUE!</v>
      </c>
      <c r="BC75" s="7"/>
    </row>
    <row r="76" spans="17:55" x14ac:dyDescent="0.25">
      <c r="Q76">
        <f t="shared" si="11"/>
        <v>36.5</v>
      </c>
      <c r="R76">
        <f t="shared" si="8"/>
        <v>1460</v>
      </c>
      <c r="T76" s="7" cm="1">
        <f t="array" aca="1" ref="T76" ca="1">(_xlfn.SINGLE(SingleCoilTorque($F$15,$G$15,IF($I$15="",$H$15,INDEX(INDIRECT(_xlfn.CONCAT($I$15,"[Torque]")),MATCH(MIN(ABS(INDIRECT(_xlfn.CONCAT($I$15,"[RPM]"))-$R76*60/2/$C$6)),ABS(INDIRECT(_xlfn.CONCAT($I$15,"[RPM]"))-$R76*60/2/$C$6),0))*100),$J$15,$K$15,$L$15,$C$2,$N$15,$Q76))-$O$15)*$C$8</f>
        <v>5.5767451636750369</v>
      </c>
      <c r="U76" s="7" cm="1">
        <f t="array" aca="1" ref="U76" ca="1">(_xlfn.SINGLE(SingleCoilTorque($F$16,$G$16,IF($I$16="",$H$16,INDEX(INDIRECT(_xlfn.CONCAT($I$16,"[Torque]")),MATCH(MIN(ABS(INDIRECT(_xlfn.CONCAT($I$16,"[RPM]"))-$R76*60/2/$C$6)),ABS(INDIRECT(_xlfn.CONCAT($I$16,"[RPM]"))-$R76*60/2/$C$6),0))*100),$J$16,$K$16,$L$16,$C$2,$N$16,$Q76))-$O$16)*$C$8</f>
        <v>9.7099458504203895</v>
      </c>
      <c r="V76" s="7" cm="1">
        <f t="array" aca="1" ref="V76" ca="1">(_xlfn.SINGLE(SingleCoilTorque($F$17,$G$17,IF($I$17="",$H$17,INDEX(INDIRECT(_xlfn.CONCAT($I$17,"[Torque]")),MATCH(MIN(ABS(INDIRECT(_xlfn.CONCAT($I$17,"[RPM]"))-$R76*60/2/$C$6)),ABS(INDIRECT(_xlfn.CONCAT($I$17,"[RPM]"))-$R76*60/2/$C$6),0))*100),$J$17,$K$17,$L$17,$C$2,$N$17,$Q76))-$O$17)*$C$8</f>
        <v>-1.607024595637961</v>
      </c>
      <c r="W76" s="7" t="e" cm="1">
        <f t="array" aca="1" ref="W76" ca="1">(_xlfn.SINGLE(SingleCoilTorque($F$18,$G$18,IF($I$18="",$H$18,INDEX(INDIRECT(_xlfn.CONCAT($I$18,"[Torque]")),MATCH(MIN(ABS(INDIRECT(_xlfn.CONCAT($I$18,"[RPM]"))-$R76*60/2/$C$6)),ABS(INDIRECT(_xlfn.CONCAT($I$18,"[RPM]"))-$R76*60/2/$C$6),0))*100),$J$18,$K$18,$L$18,$C$2,$N$18,$Q76))-$O$18)*$C$8</f>
        <v>#VALUE!</v>
      </c>
      <c r="X76" s="7" t="e" cm="1">
        <f t="array" aca="1" ref="X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Y76" s="7" t="e" cm="1">
        <f t="array" aca="1" ref="Y76" ca="1">(_xlfn.SINGLE(SingleCoilTorque($F$20,$G$20,IF($I$20="",$H$20,INDEX(INDIRECT(_xlfn.CONCAT($I$20,"[Torque]")),MATCH(MIN(ABS(INDIRECT(_xlfn.CONCAT($I$20,"[RPM]"))-$R76*60/2/$C$6)),ABS(INDIRECT(_xlfn.CONCAT($I$20,"[RPM]"))-$R76*60/2/$C$6),0))*100),$J$20,$K$20,$L$20,$C$2,$N$20,$Q76))-$O$20)*$C$8</f>
        <v>#VALUE!</v>
      </c>
      <c r="Z76" s="7" t="e" cm="1">
        <f t="array" aca="1" ref="Z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A76" s="7" t="e" cm="1">
        <f t="array" aca="1" ref="AA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B76" s="7" t="e" cm="1">
        <f t="array" aca="1" ref="AB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C76" s="7" t="e" cm="1">
        <f t="array" aca="1" ref="AC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D76" s="7" t="e" cm="1">
        <f t="array" aca="1" ref="AD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E76" s="7" t="e" cm="1">
        <f t="array" aca="1" ref="AE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F76" s="7" t="e" cm="1">
        <f t="array" aca="1" ref="AF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G76" s="7" t="e" cm="1">
        <f t="array" aca="1" ref="AG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H76" s="7" t="e" cm="1">
        <f t="array" aca="1" ref="AH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I76" s="7" t="e" cm="1">
        <f t="array" aca="1" ref="AI76" ca="1">(_xlfn.SINGLE(SingleCoilTorque($F$19,$G$19,IF($I$19="",$H$19,INDEX(INDIRECT(_xlfn.CONCAT($I$19,"[Torque]")),MATCH(MIN(ABS(INDIRECT(_xlfn.CONCAT($I$19,"[RPM]"))-$R76*60/2/$C$6)),ABS(INDIRECT(_xlfn.CONCAT($I$19,"[RPM]"))-$R76*60/2/$C$6),0))*100),$J$19,$K$19,$L$19,$C$2,$N$19,$Q76))-$O$19)*$C$8</f>
        <v>#VALUE!</v>
      </c>
      <c r="AJ76" s="7">
        <f t="shared" si="9"/>
        <v>23.8732414637843</v>
      </c>
      <c r="AL76">
        <f t="shared" si="10"/>
        <v>1460</v>
      </c>
      <c r="AM76" s="7">
        <f>StepperPower($F$15,$G$15,$H$15,$J$15,$K$15,$L$15,$C$2,$N$15,$Q76)</f>
        <v>10.68058257194769</v>
      </c>
      <c r="AN76" s="7">
        <f>StepperPower($F$16,$G$16,$H$16,$J$16,$K$16,$L$16,$C$2,$N$16,$Q76)</f>
        <v>18.55490512987971</v>
      </c>
      <c r="AO76" s="7">
        <f>StepperPower($F$17,$G$17,$H$17,$J$17,$K$17,$L$17,$C$2,$N$17,$Q76)</f>
        <v>0</v>
      </c>
      <c r="AP76" s="7" t="e">
        <f>StepperPower($F$18,$G$18,$H$18,$J$18,$K$18,$L$18,$C$2,$N$18,$Q76)</f>
        <v>#VALUE!</v>
      </c>
      <c r="AQ76" s="7" t="e">
        <f>StepperPower($F$19,$G$19,$H$19,$J$19,$K$19,$L$19,$C$2,$N$19,$Q76)</f>
        <v>#VALUE!</v>
      </c>
      <c r="AR76" s="7" t="e">
        <f>StepperPower($F$20,$G$20,$H$20,$J$20,$K$20,$L$20,$C$2,$N$20,$Q76)</f>
        <v>#VALUE!</v>
      </c>
      <c r="AS76" s="7" t="e">
        <f>StepperPower($F$21,$G$21,$H$21,$J$21,$K$21,$L$21,$C$2,$N$21,$Q76)</f>
        <v>#VALUE!</v>
      </c>
      <c r="AT76" s="7" t="e">
        <f>StepperPower($F$22,$G$22,$H$22,$J$22,$K$22,$L$22,$C$2,$N$22,$Q76)</f>
        <v>#VALUE!</v>
      </c>
      <c r="AU76" s="7" t="e">
        <f>StepperPower($F$23,$G$23,$H$23,$J$23,$K$23,$L$23,$C$2,$N$23,$Q76)</f>
        <v>#VALUE!</v>
      </c>
      <c r="AV76" s="7" t="e">
        <f>StepperPower($F$24,$G$24,$H$24,$J$24,$K$24,$L$24,$C$2,$N$24,$Q76)</f>
        <v>#VALUE!</v>
      </c>
      <c r="AW76" s="7" t="e">
        <f>StepperPower($F$25,$G$25,$H$25,$J$25,$K$25,$L$25,$C$2,$N$25,$Q76)</f>
        <v>#VALUE!</v>
      </c>
      <c r="AX76" s="7" t="e">
        <f>StepperPower($F$26,$G$26,$H$26,$J$26,$K$26,$L$26,$C$2,$N$26,$Q76)</f>
        <v>#VALUE!</v>
      </c>
      <c r="AY76" s="7" t="e">
        <f>StepperPower($F$27,$G$27,$H$27,$J$27,$K$27,$L$27,$C$2,$N$27,$Q76)</f>
        <v>#VALUE!</v>
      </c>
      <c r="AZ76" s="7" t="e">
        <f>StepperPower($F$28,$G$28,$H$28,$J$28,$K$28,$L$28,$C$2,$N$28,$Q76)</f>
        <v>#VALUE!</v>
      </c>
      <c r="BA76" s="7" t="e">
        <f>StepperPower($F$29,$G$29,$H$29,$J$29,$K$29,$L$29,$C$2,$N$29,$Q76)</f>
        <v>#VALUE!</v>
      </c>
      <c r="BB76" s="7" t="e">
        <f>StepperPower($F$30,$G$30,$H$30,$J$30,$K$30,$L$30,$C$2,$N$30,$Q76)</f>
        <v>#VALUE!</v>
      </c>
      <c r="BC76" s="7"/>
    </row>
    <row r="77" spans="17:55" x14ac:dyDescent="0.25">
      <c r="Q77">
        <f t="shared" si="11"/>
        <v>37</v>
      </c>
      <c r="R77">
        <f t="shared" si="8"/>
        <v>1480</v>
      </c>
      <c r="T77" s="7" cm="1">
        <f t="array" aca="1" ref="T77" ca="1">(_xlfn.SINGLE(SingleCoilTorque($F$15,$G$15,IF($I$15="",$H$15,INDEX(INDIRECT(_xlfn.CONCAT($I$15,"[Torque]")),MATCH(MIN(ABS(INDIRECT(_xlfn.CONCAT($I$15,"[RPM]"))-$R77*60/2/$C$6)),ABS(INDIRECT(_xlfn.CONCAT($I$15,"[RPM]"))-$R77*60/2/$C$6),0))*100),$J$15,$K$15,$L$15,$C$2,$N$15,$Q77))-$O$15)*$C$8</f>
        <v>5.2274933275358002</v>
      </c>
      <c r="U77" s="7" cm="1">
        <f t="array" aca="1" ref="U77" ca="1">(_xlfn.SINGLE(SingleCoilTorque($F$16,$G$16,IF($I$16="",$H$16,INDEX(INDIRECT(_xlfn.CONCAT($I$16,"[Torque]")),MATCH(MIN(ABS(INDIRECT(_xlfn.CONCAT($I$16,"[RPM]"))-$R77*60/2/$C$6)),ABS(INDIRECT(_xlfn.CONCAT($I$16,"[RPM]"))-$R77*60/2/$C$6),0))*100),$J$16,$K$16,$L$16,$C$2,$N$16,$Q77))-$O$16)*$C$8</f>
        <v>9.3371560191754295</v>
      </c>
      <c r="V77" s="7" cm="1">
        <f t="array" aca="1" ref="V77" ca="1">(_xlfn.SINGLE(SingleCoilTorque($F$17,$G$17,IF($I$17="",$H$17,INDEX(INDIRECT(_xlfn.CONCAT($I$17,"[Torque]")),MATCH(MIN(ABS(INDIRECT(_xlfn.CONCAT($I$17,"[RPM]"))-$R77*60/2/$C$6)),ABS(INDIRECT(_xlfn.CONCAT($I$17,"[RPM]"))-$R77*60/2/$C$6),0))*100),$J$17,$K$17,$L$17,$C$2,$N$17,$Q77))-$O$17)*$C$8</f>
        <v>-1.8432646572279154</v>
      </c>
      <c r="W77" s="7" t="e" cm="1">
        <f t="array" aca="1" ref="W77" ca="1">(_xlfn.SINGLE(SingleCoilTorque($F$18,$G$18,IF($I$18="",$H$18,INDEX(INDIRECT(_xlfn.CONCAT($I$18,"[Torque]")),MATCH(MIN(ABS(INDIRECT(_xlfn.CONCAT($I$18,"[RPM]"))-$R77*60/2/$C$6)),ABS(INDIRECT(_xlfn.CONCAT($I$18,"[RPM]"))-$R77*60/2/$C$6),0))*100),$J$18,$K$18,$L$18,$C$2,$N$18,$Q77))-$O$18)*$C$8</f>
        <v>#VALUE!</v>
      </c>
      <c r="X77" s="7" t="e" cm="1">
        <f t="array" aca="1" ref="X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Y77" s="7" t="e" cm="1">
        <f t="array" aca="1" ref="Y77" ca="1">(_xlfn.SINGLE(SingleCoilTorque($F$20,$G$20,IF($I$20="",$H$20,INDEX(INDIRECT(_xlfn.CONCAT($I$20,"[Torque]")),MATCH(MIN(ABS(INDIRECT(_xlfn.CONCAT($I$20,"[RPM]"))-$R77*60/2/$C$6)),ABS(INDIRECT(_xlfn.CONCAT($I$20,"[RPM]"))-$R77*60/2/$C$6),0))*100),$J$20,$K$20,$L$20,$C$2,$N$20,$Q77))-$O$20)*$C$8</f>
        <v>#VALUE!</v>
      </c>
      <c r="Z77" s="7" t="e" cm="1">
        <f t="array" aca="1" ref="Z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A77" s="7" t="e" cm="1">
        <f t="array" aca="1" ref="AA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B77" s="7" t="e" cm="1">
        <f t="array" aca="1" ref="AB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C77" s="7" t="e" cm="1">
        <f t="array" aca="1" ref="AC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D77" s="7" t="e" cm="1">
        <f t="array" aca="1" ref="AD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E77" s="7" t="e" cm="1">
        <f t="array" aca="1" ref="AE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F77" s="7" t="e" cm="1">
        <f t="array" aca="1" ref="AF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G77" s="7" t="e" cm="1">
        <f t="array" aca="1" ref="AG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H77" s="7" t="e" cm="1">
        <f t="array" aca="1" ref="AH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I77" s="7" t="e" cm="1">
        <f t="array" aca="1" ref="AI77" ca="1">(_xlfn.SINGLE(SingleCoilTorque($F$19,$G$19,IF($I$19="",$H$19,INDEX(INDIRECT(_xlfn.CONCAT($I$19,"[Torque]")),MATCH(MIN(ABS(INDIRECT(_xlfn.CONCAT($I$19,"[RPM]"))-$R77*60/2/$C$6)),ABS(INDIRECT(_xlfn.CONCAT($I$19,"[RPM]"))-$R77*60/2/$C$6),0))*100),$J$19,$K$19,$L$19,$C$2,$N$19,$Q77))-$O$19)*$C$8</f>
        <v>#VALUE!</v>
      </c>
      <c r="AJ77" s="7">
        <f t="shared" si="9"/>
        <v>23.8732414637843</v>
      </c>
      <c r="AL77">
        <f t="shared" si="10"/>
        <v>1480</v>
      </c>
      <c r="AM77" s="7">
        <f>StepperPower($F$15,$G$15,$H$15,$J$15,$K$15,$L$15,$C$2,$N$15,$Q77)</f>
        <v>9.3473485149951738</v>
      </c>
      <c r="AN77" s="7">
        <f>StepperPower($F$16,$G$16,$H$16,$J$16,$K$16,$L$16,$C$2,$N$16,$Q77)</f>
        <v>17.460083073294733</v>
      </c>
      <c r="AO77" s="7">
        <f>StepperPower($F$17,$G$17,$H$17,$J$17,$K$17,$L$17,$C$2,$N$17,$Q77)</f>
        <v>0</v>
      </c>
      <c r="AP77" s="7" t="e">
        <f>StepperPower($F$18,$G$18,$H$18,$J$18,$K$18,$L$18,$C$2,$N$18,$Q77)</f>
        <v>#VALUE!</v>
      </c>
      <c r="AQ77" s="7" t="e">
        <f>StepperPower($F$19,$G$19,$H$19,$J$19,$K$19,$L$19,$C$2,$N$19,$Q77)</f>
        <v>#VALUE!</v>
      </c>
      <c r="AR77" s="7" t="e">
        <f>StepperPower($F$20,$G$20,$H$20,$J$20,$K$20,$L$20,$C$2,$N$20,$Q77)</f>
        <v>#VALUE!</v>
      </c>
      <c r="AS77" s="7" t="e">
        <f>StepperPower($F$21,$G$21,$H$21,$J$21,$K$21,$L$21,$C$2,$N$21,$Q77)</f>
        <v>#VALUE!</v>
      </c>
      <c r="AT77" s="7" t="e">
        <f>StepperPower($F$22,$G$22,$H$22,$J$22,$K$22,$L$22,$C$2,$N$22,$Q77)</f>
        <v>#VALUE!</v>
      </c>
      <c r="AU77" s="7" t="e">
        <f>StepperPower($F$23,$G$23,$H$23,$J$23,$K$23,$L$23,$C$2,$N$23,$Q77)</f>
        <v>#VALUE!</v>
      </c>
      <c r="AV77" s="7" t="e">
        <f>StepperPower($F$24,$G$24,$H$24,$J$24,$K$24,$L$24,$C$2,$N$24,$Q77)</f>
        <v>#VALUE!</v>
      </c>
      <c r="AW77" s="7" t="e">
        <f>StepperPower($F$25,$G$25,$H$25,$J$25,$K$25,$L$25,$C$2,$N$25,$Q77)</f>
        <v>#VALUE!</v>
      </c>
      <c r="AX77" s="7" t="e">
        <f>StepperPower($F$26,$G$26,$H$26,$J$26,$K$26,$L$26,$C$2,$N$26,$Q77)</f>
        <v>#VALUE!</v>
      </c>
      <c r="AY77" s="7" t="e">
        <f>StepperPower($F$27,$G$27,$H$27,$J$27,$K$27,$L$27,$C$2,$N$27,$Q77)</f>
        <v>#VALUE!</v>
      </c>
      <c r="AZ77" s="7" t="e">
        <f>StepperPower($F$28,$G$28,$H$28,$J$28,$K$28,$L$28,$C$2,$N$28,$Q77)</f>
        <v>#VALUE!</v>
      </c>
      <c r="BA77" s="7" t="e">
        <f>StepperPower($F$29,$G$29,$H$29,$J$29,$K$29,$L$29,$C$2,$N$29,$Q77)</f>
        <v>#VALUE!</v>
      </c>
      <c r="BB77" s="7" t="e">
        <f>StepperPower($F$30,$G$30,$H$30,$J$30,$K$30,$L$30,$C$2,$N$30,$Q77)</f>
        <v>#VALUE!</v>
      </c>
      <c r="BC77" s="7"/>
    </row>
    <row r="78" spans="17:55" x14ac:dyDescent="0.25">
      <c r="Q78">
        <f t="shared" si="11"/>
        <v>37.5</v>
      </c>
      <c r="R78">
        <f t="shared" si="8"/>
        <v>1500</v>
      </c>
      <c r="T78" s="7" cm="1">
        <f t="array" aca="1" ref="T78" ca="1">(_xlfn.SINGLE(SingleCoilTorque($F$15,$G$15,IF($I$15="",$H$15,INDEX(INDIRECT(_xlfn.CONCAT($I$15,"[Torque]")),MATCH(MIN(ABS(INDIRECT(_xlfn.CONCAT($I$15,"[RPM]"))-$R78*60/2/$C$6)),ABS(INDIRECT(_xlfn.CONCAT($I$15,"[RPM]"))-$R78*60/2/$C$6),0))*100),$J$15,$K$15,$L$15,$C$2,$N$15,$Q78))-$O$15)*$C$8</f>
        <v>4.887085662030711</v>
      </c>
      <c r="U78" s="7" cm="1">
        <f t="array" aca="1" ref="U78" ca="1">(_xlfn.SINGLE(SingleCoilTorque($F$16,$G$16,IF($I$16="",$H$16,INDEX(INDIRECT(_xlfn.CONCAT($I$16,"[Torque]")),MATCH(MIN(ABS(INDIRECT(_xlfn.CONCAT($I$16,"[RPM]"))-$R78*60/2/$C$6)),ABS(INDIRECT(_xlfn.CONCAT($I$16,"[RPM]"))-$R78*60/2/$C$6),0))*100),$J$16,$K$16,$L$16,$C$2,$N$16,$Q78))-$O$16)*$C$8</f>
        <v>8.9738542167307767</v>
      </c>
      <c r="V78" s="7" cm="1">
        <f t="array" aca="1" ref="V78" ca="1">(_xlfn.SINGLE(SingleCoilTorque($F$17,$G$17,IF($I$17="",$H$17,INDEX(INDIRECT(_xlfn.CONCAT($I$17,"[Torque]")),MATCH(MIN(ABS(INDIRECT(_xlfn.CONCAT($I$17,"[RPM]"))-$R78*60/2/$C$6)),ABS(INDIRECT(_xlfn.CONCAT($I$17,"[RPM]"))-$R78*60/2/$C$6),0))*100),$J$17,$K$17,$L$17,$C$2,$N$17,$Q78))-$O$17)*$C$8</f>
        <v>-2.0734201864989985</v>
      </c>
      <c r="W78" s="7" t="e" cm="1">
        <f t="array" aca="1" ref="W78" ca="1">(_xlfn.SINGLE(SingleCoilTorque($F$18,$G$18,IF($I$18="",$H$18,INDEX(INDIRECT(_xlfn.CONCAT($I$18,"[Torque]")),MATCH(MIN(ABS(INDIRECT(_xlfn.CONCAT($I$18,"[RPM]"))-$R78*60/2/$C$6)),ABS(INDIRECT(_xlfn.CONCAT($I$18,"[RPM]"))-$R78*60/2/$C$6),0))*100),$J$18,$K$18,$L$18,$C$2,$N$18,$Q78))-$O$18)*$C$8</f>
        <v>#VALUE!</v>
      </c>
      <c r="X78" s="7" t="e" cm="1">
        <f t="array" aca="1" ref="X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Y78" s="7" t="e" cm="1">
        <f t="array" aca="1" ref="Y78" ca="1">(_xlfn.SINGLE(SingleCoilTorque($F$20,$G$20,IF($I$20="",$H$20,INDEX(INDIRECT(_xlfn.CONCAT($I$20,"[Torque]")),MATCH(MIN(ABS(INDIRECT(_xlfn.CONCAT($I$20,"[RPM]"))-$R78*60/2/$C$6)),ABS(INDIRECT(_xlfn.CONCAT($I$20,"[RPM]"))-$R78*60/2/$C$6),0))*100),$J$20,$K$20,$L$20,$C$2,$N$20,$Q78))-$O$20)*$C$8</f>
        <v>#VALUE!</v>
      </c>
      <c r="Z78" s="7" t="e" cm="1">
        <f t="array" aca="1" ref="Z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A78" s="7" t="e" cm="1">
        <f t="array" aca="1" ref="AA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B78" s="7" t="e" cm="1">
        <f t="array" aca="1" ref="AB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C78" s="7" t="e" cm="1">
        <f t="array" aca="1" ref="AC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D78" s="7" t="e" cm="1">
        <f t="array" aca="1" ref="AD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E78" s="7" t="e" cm="1">
        <f t="array" aca="1" ref="AE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F78" s="7" t="e" cm="1">
        <f t="array" aca="1" ref="AF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G78" s="7" t="e" cm="1">
        <f t="array" aca="1" ref="AG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H78" s="7" t="e" cm="1">
        <f t="array" aca="1" ref="AH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I78" s="7" t="e" cm="1">
        <f t="array" aca="1" ref="AI78" ca="1">(_xlfn.SINGLE(SingleCoilTorque($F$19,$G$19,IF($I$19="",$H$19,INDEX(INDIRECT(_xlfn.CONCAT($I$19,"[Torque]")),MATCH(MIN(ABS(INDIRECT(_xlfn.CONCAT($I$19,"[RPM]"))-$R78*60/2/$C$6)),ABS(INDIRECT(_xlfn.CONCAT($I$19,"[RPM]"))-$R78*60/2/$C$6),0))*100),$J$19,$K$19,$L$19,$C$2,$N$19,$Q78))-$O$19)*$C$8</f>
        <v>#VALUE!</v>
      </c>
      <c r="AJ78" s="7">
        <f t="shared" si="9"/>
        <v>23.8732414637843</v>
      </c>
      <c r="AL78">
        <f t="shared" si="10"/>
        <v>1500</v>
      </c>
      <c r="AM78" s="7">
        <f>StepperPower($F$15,$G$15,$H$15,$J$15,$K$15,$L$15,$C$2,$N$15,$Q78)</f>
        <v>8.0146532310169434</v>
      </c>
      <c r="AN78" s="7">
        <f>StepperPower($F$16,$G$16,$H$16,$J$16,$K$16,$L$16,$C$2,$N$16,$Q78)</f>
        <v>16.366268023562931</v>
      </c>
      <c r="AO78" s="7">
        <f>StepperPower($F$17,$G$17,$H$17,$J$17,$K$17,$L$17,$C$2,$N$17,$Q78)</f>
        <v>0</v>
      </c>
      <c r="AP78" s="7" t="e">
        <f>StepperPower($F$18,$G$18,$H$18,$J$18,$K$18,$L$18,$C$2,$N$18,$Q78)</f>
        <v>#VALUE!</v>
      </c>
      <c r="AQ78" s="7" t="e">
        <f>StepperPower($F$19,$G$19,$H$19,$J$19,$K$19,$L$19,$C$2,$N$19,$Q78)</f>
        <v>#VALUE!</v>
      </c>
      <c r="AR78" s="7" t="e">
        <f>StepperPower($F$20,$G$20,$H$20,$J$20,$K$20,$L$20,$C$2,$N$20,$Q78)</f>
        <v>#VALUE!</v>
      </c>
      <c r="AS78" s="7" t="e">
        <f>StepperPower($F$21,$G$21,$H$21,$J$21,$K$21,$L$21,$C$2,$N$21,$Q78)</f>
        <v>#VALUE!</v>
      </c>
      <c r="AT78" s="7" t="e">
        <f>StepperPower($F$22,$G$22,$H$22,$J$22,$K$22,$L$22,$C$2,$N$22,$Q78)</f>
        <v>#VALUE!</v>
      </c>
      <c r="AU78" s="7" t="e">
        <f>StepperPower($F$23,$G$23,$H$23,$J$23,$K$23,$L$23,$C$2,$N$23,$Q78)</f>
        <v>#VALUE!</v>
      </c>
      <c r="AV78" s="7" t="e">
        <f>StepperPower($F$24,$G$24,$H$24,$J$24,$K$24,$L$24,$C$2,$N$24,$Q78)</f>
        <v>#VALUE!</v>
      </c>
      <c r="AW78" s="7" t="e">
        <f>StepperPower($F$25,$G$25,$H$25,$J$25,$K$25,$L$25,$C$2,$N$25,$Q78)</f>
        <v>#VALUE!</v>
      </c>
      <c r="AX78" s="7" t="e">
        <f>StepperPower($F$26,$G$26,$H$26,$J$26,$K$26,$L$26,$C$2,$N$26,$Q78)</f>
        <v>#VALUE!</v>
      </c>
      <c r="AY78" s="7" t="e">
        <f>StepperPower($F$27,$G$27,$H$27,$J$27,$K$27,$L$27,$C$2,$N$27,$Q78)</f>
        <v>#VALUE!</v>
      </c>
      <c r="AZ78" s="7" t="e">
        <f>StepperPower($F$28,$G$28,$H$28,$J$28,$K$28,$L$28,$C$2,$N$28,$Q78)</f>
        <v>#VALUE!</v>
      </c>
      <c r="BA78" s="7" t="e">
        <f>StepperPower($F$29,$G$29,$H$29,$J$29,$K$29,$L$29,$C$2,$N$29,$Q78)</f>
        <v>#VALUE!</v>
      </c>
      <c r="BB78" s="7" t="e">
        <f>StepperPower($F$30,$G$30,$H$30,$J$30,$K$30,$L$30,$C$2,$N$30,$Q78)</f>
        <v>#VALUE!</v>
      </c>
      <c r="BC78" s="7"/>
    </row>
    <row r="79" spans="17:55" x14ac:dyDescent="0.25">
      <c r="Q79">
        <f t="shared" si="11"/>
        <v>38</v>
      </c>
      <c r="R79">
        <f t="shared" si="8"/>
        <v>1520</v>
      </c>
      <c r="T79" s="7" cm="1">
        <f t="array" aca="1" ref="T79" ca="1">(_xlfn.SINGLE(SingleCoilTorque($F$15,$G$15,IF($I$15="",$H$15,INDEX(INDIRECT(_xlfn.CONCAT($I$15,"[Torque]")),MATCH(MIN(ABS(INDIRECT(_xlfn.CONCAT($I$15,"[RPM]"))-$R79*60/2/$C$6)),ABS(INDIRECT(_xlfn.CONCAT($I$15,"[RPM]"))-$R79*60/2/$C$6),0))*100),$J$15,$K$15,$L$15,$C$2,$N$15,$Q79))-$O$15)*$C$8</f>
        <v>4.5551904236406813</v>
      </c>
      <c r="U79" s="7" cm="1">
        <f t="array" aca="1" ref="U79" ca="1">(_xlfn.SINGLE(SingleCoilTorque($F$16,$G$16,IF($I$16="",$H$16,INDEX(INDIRECT(_xlfn.CONCAT($I$16,"[Torque]")),MATCH(MIN(ABS(INDIRECT(_xlfn.CONCAT($I$16,"[RPM]"))-$R79*60/2/$C$6)),ABS(INDIRECT(_xlfn.CONCAT($I$16,"[RPM]"))-$R79*60/2/$C$6),0))*100),$J$16,$K$16,$L$16,$C$2,$N$16,$Q79))-$O$16)*$C$8</f>
        <v>8.4579028864713219</v>
      </c>
      <c r="V79" s="7" cm="1">
        <f t="array" aca="1" ref="V79" ca="1">(_xlfn.SINGLE(SingleCoilTorque($F$17,$G$17,IF($I$17="",$H$17,INDEX(INDIRECT(_xlfn.CONCAT($I$17,"[Torque]")),MATCH(MIN(ABS(INDIRECT(_xlfn.CONCAT($I$17,"[RPM]"))-$R79*60/2/$C$6)),ABS(INDIRECT(_xlfn.CONCAT($I$17,"[RPM]"))-$R79*60/2/$C$6),0))*100),$J$17,$K$17,$L$17,$C$2,$N$17,$Q79))-$O$17)*$C$8</f>
        <v>-2.3986336067883358</v>
      </c>
      <c r="W79" s="7" t="e" cm="1">
        <f t="array" aca="1" ref="W79" ca="1">(_xlfn.SINGLE(SingleCoilTorque($F$18,$G$18,IF($I$18="",$H$18,INDEX(INDIRECT(_xlfn.CONCAT($I$18,"[Torque]")),MATCH(MIN(ABS(INDIRECT(_xlfn.CONCAT($I$18,"[RPM]"))-$R79*60/2/$C$6)),ABS(INDIRECT(_xlfn.CONCAT($I$18,"[RPM]"))-$R79*60/2/$C$6),0))*100),$J$18,$K$18,$L$18,$C$2,$N$18,$Q79))-$O$18)*$C$8</f>
        <v>#VALUE!</v>
      </c>
      <c r="X79" s="7" t="e" cm="1">
        <f t="array" aca="1" ref="X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Y79" s="7" t="e" cm="1">
        <f t="array" aca="1" ref="Y79" ca="1">(_xlfn.SINGLE(SingleCoilTorque($F$20,$G$20,IF($I$20="",$H$20,INDEX(INDIRECT(_xlfn.CONCAT($I$20,"[Torque]")),MATCH(MIN(ABS(INDIRECT(_xlfn.CONCAT($I$20,"[RPM]"))-$R79*60/2/$C$6)),ABS(INDIRECT(_xlfn.CONCAT($I$20,"[RPM]"))-$R79*60/2/$C$6),0))*100),$J$20,$K$20,$L$20,$C$2,$N$20,$Q79))-$O$20)*$C$8</f>
        <v>#VALUE!</v>
      </c>
      <c r="Z79" s="7" t="e" cm="1">
        <f t="array" aca="1" ref="Z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A79" s="7" t="e" cm="1">
        <f t="array" aca="1" ref="AA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B79" s="7" t="e" cm="1">
        <f t="array" aca="1" ref="AB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C79" s="7" t="e" cm="1">
        <f t="array" aca="1" ref="AC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D79" s="7" t="e" cm="1">
        <f t="array" aca="1" ref="AD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E79" s="7" t="e" cm="1">
        <f t="array" aca="1" ref="AE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F79" s="7" t="e" cm="1">
        <f t="array" aca="1" ref="AF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G79" s="7" t="e" cm="1">
        <f t="array" aca="1" ref="AG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H79" s="7" t="e" cm="1">
        <f t="array" aca="1" ref="AH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I79" s="7" t="e" cm="1">
        <f t="array" aca="1" ref="AI79" ca="1">(_xlfn.SINGLE(SingleCoilTorque($F$19,$G$19,IF($I$19="",$H$19,INDEX(INDIRECT(_xlfn.CONCAT($I$19,"[Torque]")),MATCH(MIN(ABS(INDIRECT(_xlfn.CONCAT($I$19,"[RPM]"))-$R79*60/2/$C$6)),ABS(INDIRECT(_xlfn.CONCAT($I$19,"[RPM]"))-$R79*60/2/$C$6),0))*100),$J$19,$K$19,$L$19,$C$2,$N$19,$Q79))-$O$19)*$C$8</f>
        <v>#VALUE!</v>
      </c>
      <c r="AJ79" s="7">
        <f t="shared" si="9"/>
        <v>23.8732414637843</v>
      </c>
      <c r="AL79">
        <f t="shared" si="10"/>
        <v>1520</v>
      </c>
      <c r="AM79" s="7">
        <f>StepperPower($F$15,$G$15,$H$15,$J$15,$K$15,$L$15,$C$2,$N$15,$Q79)</f>
        <v>6.6823970760428093</v>
      </c>
      <c r="AN79" s="7">
        <f>StepperPower($F$16,$G$16,$H$16,$J$16,$K$16,$L$16,$C$2,$N$16,$Q79)</f>
        <v>15.273349992963828</v>
      </c>
      <c r="AO79" s="7">
        <f>StepperPower($F$17,$G$17,$H$17,$J$17,$K$17,$L$17,$C$2,$N$17,$Q79)</f>
        <v>0</v>
      </c>
      <c r="AP79" s="7" t="e">
        <f>StepperPower($F$18,$G$18,$H$18,$J$18,$K$18,$L$18,$C$2,$N$18,$Q79)</f>
        <v>#VALUE!</v>
      </c>
      <c r="AQ79" s="7" t="e">
        <f>StepperPower($F$19,$G$19,$H$19,$J$19,$K$19,$L$19,$C$2,$N$19,$Q79)</f>
        <v>#VALUE!</v>
      </c>
      <c r="AR79" s="7" t="e">
        <f>StepperPower($F$20,$G$20,$H$20,$J$20,$K$20,$L$20,$C$2,$N$20,$Q79)</f>
        <v>#VALUE!</v>
      </c>
      <c r="AS79" s="7" t="e">
        <f>StepperPower($F$21,$G$21,$H$21,$J$21,$K$21,$L$21,$C$2,$N$21,$Q79)</f>
        <v>#VALUE!</v>
      </c>
      <c r="AT79" s="7" t="e">
        <f>StepperPower($F$22,$G$22,$H$22,$J$22,$K$22,$L$22,$C$2,$N$22,$Q79)</f>
        <v>#VALUE!</v>
      </c>
      <c r="AU79" s="7" t="e">
        <f>StepperPower($F$23,$G$23,$H$23,$J$23,$K$23,$L$23,$C$2,$N$23,$Q79)</f>
        <v>#VALUE!</v>
      </c>
      <c r="AV79" s="7" t="e">
        <f>StepperPower($F$24,$G$24,$H$24,$J$24,$K$24,$L$24,$C$2,$N$24,$Q79)</f>
        <v>#VALUE!</v>
      </c>
      <c r="AW79" s="7" t="e">
        <f>StepperPower($F$25,$G$25,$H$25,$J$25,$K$25,$L$25,$C$2,$N$25,$Q79)</f>
        <v>#VALUE!</v>
      </c>
      <c r="AX79" s="7" t="e">
        <f>StepperPower($F$26,$G$26,$H$26,$J$26,$K$26,$L$26,$C$2,$N$26,$Q79)</f>
        <v>#VALUE!</v>
      </c>
      <c r="AY79" s="7" t="e">
        <f>StepperPower($F$27,$G$27,$H$27,$J$27,$K$27,$L$27,$C$2,$N$27,$Q79)</f>
        <v>#VALUE!</v>
      </c>
      <c r="AZ79" s="7" t="e">
        <f>StepperPower($F$28,$G$28,$H$28,$J$28,$K$28,$L$28,$C$2,$N$28,$Q79)</f>
        <v>#VALUE!</v>
      </c>
      <c r="BA79" s="7" t="e">
        <f>StepperPower($F$29,$G$29,$H$29,$J$29,$K$29,$L$29,$C$2,$N$29,$Q79)</f>
        <v>#VALUE!</v>
      </c>
      <c r="BB79" s="7" t="e">
        <f>StepperPower($F$30,$G$30,$H$30,$J$30,$K$30,$L$30,$C$2,$N$30,$Q79)</f>
        <v>#VALUE!</v>
      </c>
      <c r="BC79" s="7"/>
    </row>
    <row r="80" spans="17:55" x14ac:dyDescent="0.25">
      <c r="Q80">
        <f t="shared" si="11"/>
        <v>38.5</v>
      </c>
      <c r="R80">
        <f t="shared" si="8"/>
        <v>1540</v>
      </c>
      <c r="T80" s="7" cm="1">
        <f t="array" aca="1" ref="T80" ca="1">(_xlfn.SINGLE(SingleCoilTorque($F$15,$G$15,IF($I$15="",$H$15,INDEX(INDIRECT(_xlfn.CONCAT($I$15,"[Torque]")),MATCH(MIN(ABS(INDIRECT(_xlfn.CONCAT($I$15,"[RPM]"))-$R80*60/2/$C$6)),ABS(INDIRECT(_xlfn.CONCAT($I$15,"[RPM]"))-$R80*60/2/$C$6),0))*100),$J$15,$K$15,$L$15,$C$2,$N$15,$Q80))-$O$15)*$C$8</f>
        <v>4.2314922554928787</v>
      </c>
      <c r="U80" s="7" cm="1">
        <f t="array" aca="1" ref="U80" ca="1">(_xlfn.SINGLE(SingleCoilTorque($F$16,$G$16,IF($I$16="",$H$16,INDEX(INDIRECT(_xlfn.CONCAT($I$16,"[Torque]")),MATCH(MIN(ABS(INDIRECT(_xlfn.CONCAT($I$16,"[RPM]"))-$R80*60/2/$C$6)),ABS(INDIRECT(_xlfn.CONCAT($I$16,"[RPM]"))-$R80*60/2/$C$6),0))*100),$J$16,$K$16,$L$16,$C$2,$N$16,$Q80))-$O$16)*$C$8</f>
        <v>8.1194850522969944</v>
      </c>
      <c r="V80" s="7" cm="1">
        <f t="array" aca="1" ref="V80" ca="1">(_xlfn.SINGLE(SingleCoilTorque($F$17,$G$17,IF($I$17="",$H$17,INDEX(INDIRECT(_xlfn.CONCAT($I$17,"[Torque]")),MATCH(MIN(ABS(INDIRECT(_xlfn.CONCAT($I$17,"[RPM]"))-$R80*60/2/$C$6)),ABS(INDIRECT(_xlfn.CONCAT($I$17,"[RPM]"))-$R80*60/2/$C$6),0))*100),$J$17,$K$17,$L$17,$C$2,$N$17,$Q80))-$O$17)*$C$8</f>
        <v>-2.6135408476892721</v>
      </c>
      <c r="W80" s="7" t="e" cm="1">
        <f t="array" aca="1" ref="W80" ca="1">(_xlfn.SINGLE(SingleCoilTorque($F$18,$G$18,IF($I$18="",$H$18,INDEX(INDIRECT(_xlfn.CONCAT($I$18,"[Torque]")),MATCH(MIN(ABS(INDIRECT(_xlfn.CONCAT($I$18,"[RPM]"))-$R80*60/2/$C$6)),ABS(INDIRECT(_xlfn.CONCAT($I$18,"[RPM]"))-$R80*60/2/$C$6),0))*100),$J$18,$K$18,$L$18,$C$2,$N$18,$Q80))-$O$18)*$C$8</f>
        <v>#VALUE!</v>
      </c>
      <c r="X80" s="7" t="e" cm="1">
        <f t="array" aca="1" ref="X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Y80" s="7" t="e" cm="1">
        <f t="array" aca="1" ref="Y80" ca="1">(_xlfn.SINGLE(SingleCoilTorque($F$20,$G$20,IF($I$20="",$H$20,INDEX(INDIRECT(_xlfn.CONCAT($I$20,"[Torque]")),MATCH(MIN(ABS(INDIRECT(_xlfn.CONCAT($I$20,"[RPM]"))-$R80*60/2/$C$6)),ABS(INDIRECT(_xlfn.CONCAT($I$20,"[RPM]"))-$R80*60/2/$C$6),0))*100),$J$20,$K$20,$L$20,$C$2,$N$20,$Q80))-$O$20)*$C$8</f>
        <v>#VALUE!</v>
      </c>
      <c r="Z80" s="7" t="e" cm="1">
        <f t="array" aca="1" ref="Z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A80" s="7" t="e" cm="1">
        <f t="array" aca="1" ref="AA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B80" s="7" t="e" cm="1">
        <f t="array" aca="1" ref="AB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C80" s="7" t="e" cm="1">
        <f t="array" aca="1" ref="AC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D80" s="7" t="e" cm="1">
        <f t="array" aca="1" ref="AD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E80" s="7" t="e" cm="1">
        <f t="array" aca="1" ref="AE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F80" s="7" t="e" cm="1">
        <f t="array" aca="1" ref="AF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G80" s="7" t="e" cm="1">
        <f t="array" aca="1" ref="AG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H80" s="7" t="e" cm="1">
        <f t="array" aca="1" ref="AH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I80" s="7" t="e" cm="1">
        <f t="array" aca="1" ref="AI80" ca="1">(_xlfn.SINGLE(SingleCoilTorque($F$19,$G$19,IF($I$19="",$H$19,INDEX(INDIRECT(_xlfn.CONCAT($I$19,"[Torque]")),MATCH(MIN(ABS(INDIRECT(_xlfn.CONCAT($I$19,"[RPM]"))-$R80*60/2/$C$6)),ABS(INDIRECT(_xlfn.CONCAT($I$19,"[RPM]"))-$R80*60/2/$C$6),0))*100),$J$19,$K$19,$L$19,$C$2,$N$19,$Q80))-$O$19)*$C$8</f>
        <v>#VALUE!</v>
      </c>
      <c r="AJ80" s="7">
        <f t="shared" si="9"/>
        <v>23.8732414637843</v>
      </c>
      <c r="AL80">
        <f t="shared" si="10"/>
        <v>1540</v>
      </c>
      <c r="AM80" s="7">
        <f>StepperPower($F$15,$G$15,$H$15,$J$15,$K$15,$L$15,$C$2,$N$15,$Q80)</f>
        <v>5.3504892033333986</v>
      </c>
      <c r="AN80" s="7">
        <f>StepperPower($F$16,$G$16,$H$16,$J$16,$K$16,$L$16,$C$2,$N$16,$Q80)</f>
        <v>14.18122798447515</v>
      </c>
      <c r="AO80" s="7">
        <f>StepperPower($F$17,$G$17,$H$17,$J$17,$K$17,$L$17,$C$2,$N$17,$Q80)</f>
        <v>0</v>
      </c>
      <c r="AP80" s="7" t="e">
        <f>StepperPower($F$18,$G$18,$H$18,$J$18,$K$18,$L$18,$C$2,$N$18,$Q80)</f>
        <v>#VALUE!</v>
      </c>
      <c r="AQ80" s="7" t="e">
        <f>StepperPower($F$19,$G$19,$H$19,$J$19,$K$19,$L$19,$C$2,$N$19,$Q80)</f>
        <v>#VALUE!</v>
      </c>
      <c r="AR80" s="7" t="e">
        <f>StepperPower($F$20,$G$20,$H$20,$J$20,$K$20,$L$20,$C$2,$N$20,$Q80)</f>
        <v>#VALUE!</v>
      </c>
      <c r="AS80" s="7" t="e">
        <f>StepperPower($F$21,$G$21,$H$21,$J$21,$K$21,$L$21,$C$2,$N$21,$Q80)</f>
        <v>#VALUE!</v>
      </c>
      <c r="AT80" s="7" t="e">
        <f>StepperPower($F$22,$G$22,$H$22,$J$22,$K$22,$L$22,$C$2,$N$22,$Q80)</f>
        <v>#VALUE!</v>
      </c>
      <c r="AU80" s="7" t="e">
        <f>StepperPower($F$23,$G$23,$H$23,$J$23,$K$23,$L$23,$C$2,$N$23,$Q80)</f>
        <v>#VALUE!</v>
      </c>
      <c r="AV80" s="7" t="e">
        <f>StepperPower($F$24,$G$24,$H$24,$J$24,$K$24,$L$24,$C$2,$N$24,$Q80)</f>
        <v>#VALUE!</v>
      </c>
      <c r="AW80" s="7" t="e">
        <f>StepperPower($F$25,$G$25,$H$25,$J$25,$K$25,$L$25,$C$2,$N$25,$Q80)</f>
        <v>#VALUE!</v>
      </c>
      <c r="AX80" s="7" t="e">
        <f>StepperPower($F$26,$G$26,$H$26,$J$26,$K$26,$L$26,$C$2,$N$26,$Q80)</f>
        <v>#VALUE!</v>
      </c>
      <c r="AY80" s="7" t="e">
        <f>StepperPower($F$27,$G$27,$H$27,$J$27,$K$27,$L$27,$C$2,$N$27,$Q80)</f>
        <v>#VALUE!</v>
      </c>
      <c r="AZ80" s="7" t="e">
        <f>StepperPower($F$28,$G$28,$H$28,$J$28,$K$28,$L$28,$C$2,$N$28,$Q80)</f>
        <v>#VALUE!</v>
      </c>
      <c r="BA80" s="7" t="e">
        <f>StepperPower($F$29,$G$29,$H$29,$J$29,$K$29,$L$29,$C$2,$N$29,$Q80)</f>
        <v>#VALUE!</v>
      </c>
      <c r="BB80" s="7" t="e">
        <f>StepperPower($F$30,$G$30,$H$30,$J$30,$K$30,$L$30,$C$2,$N$30,$Q80)</f>
        <v>#VALUE!</v>
      </c>
      <c r="BC80" s="7"/>
    </row>
    <row r="81" spans="3:55" x14ac:dyDescent="0.25">
      <c r="C81" t="s">
        <v>205</v>
      </c>
      <c r="Q81">
        <f t="shared" si="11"/>
        <v>39</v>
      </c>
      <c r="R81">
        <f t="shared" si="8"/>
        <v>1560</v>
      </c>
      <c r="T81" s="7" cm="1">
        <f t="array" aca="1" ref="T81" ca="1">(_xlfn.SINGLE(SingleCoilTorque($F$15,$G$15,IF($I$15="",$H$15,INDEX(INDIRECT(_xlfn.CONCAT($I$15,"[Torque]")),MATCH(MIN(ABS(INDIRECT(_xlfn.CONCAT($I$15,"[RPM]"))-$R81*60/2/$C$6)),ABS(INDIRECT(_xlfn.CONCAT($I$15,"[RPM]"))-$R81*60/2/$C$6),0))*100),$J$15,$K$15,$L$15,$C$2,$N$15,$Q81))-$O$15)*$C$8</f>
        <v>3.9156911879188585</v>
      </c>
      <c r="U81" s="7" cm="1">
        <f t="array" aca="1" ref="U81" ca="1">(_xlfn.SINGLE(SingleCoilTorque($F$16,$G$16,IF($I$16="",$H$16,INDEX(INDIRECT(_xlfn.CONCAT($I$16,"[Torque]")),MATCH(MIN(ABS(INDIRECT(_xlfn.CONCAT($I$16,"[RPM]"))-$R81*60/2/$C$6)),ABS(INDIRECT(_xlfn.CONCAT($I$16,"[RPM]"))-$R81*60/2/$C$6),0))*100),$J$16,$K$16,$L$16,$C$2,$N$16,$Q81))-$O$16)*$C$8</f>
        <v>7.7893636953225043</v>
      </c>
      <c r="V81" s="7" cm="1">
        <f t="array" aca="1" ref="V81" ca="1">(_xlfn.SINGLE(SingleCoilTorque($F$17,$G$17,IF($I$17="",$H$17,INDEX(INDIRECT(_xlfn.CONCAT($I$17,"[Torque]")),MATCH(MIN(ABS(INDIRECT(_xlfn.CONCAT($I$17,"[RPM]"))-$R81*60/2/$C$6)),ABS(INDIRECT(_xlfn.CONCAT($I$17,"[RPM]"))-$R81*60/2/$C$6),0))*100),$J$17,$K$17,$L$17,$C$2,$N$17,$Q81))-$O$17)*$C$8</f>
        <v>-2.8231188845874486</v>
      </c>
      <c r="W81" s="7" t="e" cm="1">
        <f t="array" aca="1" ref="W81" ca="1">(_xlfn.SINGLE(SingleCoilTorque($F$18,$G$18,IF($I$18="",$H$18,INDEX(INDIRECT(_xlfn.CONCAT($I$18,"[Torque]")),MATCH(MIN(ABS(INDIRECT(_xlfn.CONCAT($I$18,"[RPM]"))-$R81*60/2/$C$6)),ABS(INDIRECT(_xlfn.CONCAT($I$18,"[RPM]"))-$R81*60/2/$C$6),0))*100),$J$18,$K$18,$L$18,$C$2,$N$18,$Q81))-$O$18)*$C$8</f>
        <v>#VALUE!</v>
      </c>
      <c r="X81" s="7" t="e" cm="1">
        <f t="array" aca="1" ref="X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Y81" s="7" t="e" cm="1">
        <f t="array" aca="1" ref="Y81" ca="1">(_xlfn.SINGLE(SingleCoilTorque($F$20,$G$20,IF($I$20="",$H$20,INDEX(INDIRECT(_xlfn.CONCAT($I$20,"[Torque]")),MATCH(MIN(ABS(INDIRECT(_xlfn.CONCAT($I$20,"[RPM]"))-$R81*60/2/$C$6)),ABS(INDIRECT(_xlfn.CONCAT($I$20,"[RPM]"))-$R81*60/2/$C$6),0))*100),$J$20,$K$20,$L$20,$C$2,$N$20,$Q81))-$O$20)*$C$8</f>
        <v>#VALUE!</v>
      </c>
      <c r="Z81" s="7" t="e" cm="1">
        <f t="array" aca="1" ref="Z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A81" s="7" t="e" cm="1">
        <f t="array" aca="1" ref="AA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B81" s="7" t="e" cm="1">
        <f t="array" aca="1" ref="AB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C81" s="7" t="e" cm="1">
        <f t="array" aca="1" ref="AC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D81" s="7" t="e" cm="1">
        <f t="array" aca="1" ref="AD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E81" s="7" t="e" cm="1">
        <f t="array" aca="1" ref="AE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F81" s="7" t="e" cm="1">
        <f t="array" aca="1" ref="AF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G81" s="7" t="e" cm="1">
        <f t="array" aca="1" ref="AG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H81" s="7" t="e" cm="1">
        <f t="array" aca="1" ref="AH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I81" s="7" t="e" cm="1">
        <f t="array" aca="1" ref="AI81" ca="1">(_xlfn.SINGLE(SingleCoilTorque($F$19,$G$19,IF($I$19="",$H$19,INDEX(INDIRECT(_xlfn.CONCAT($I$19,"[Torque]")),MATCH(MIN(ABS(INDIRECT(_xlfn.CONCAT($I$19,"[RPM]"))-$R81*60/2/$C$6)),ABS(INDIRECT(_xlfn.CONCAT($I$19,"[RPM]"))-$R81*60/2/$C$6),0))*100),$J$19,$K$19,$L$19,$C$2,$N$19,$Q81))-$O$19)*$C$8</f>
        <v>#VALUE!</v>
      </c>
      <c r="AJ81" s="7">
        <f t="shared" si="9"/>
        <v>23.8732414637843</v>
      </c>
      <c r="AL81">
        <f t="shared" si="10"/>
        <v>1560</v>
      </c>
      <c r="AM81" s="7">
        <f>StepperPower($F$15,$G$15,$H$15,$J$15,$K$15,$L$15,$C$2,$N$15,$Q81)</f>
        <v>4.0188467933520364</v>
      </c>
      <c r="AN81" s="7">
        <f>StepperPower($F$16,$G$16,$H$16,$J$16,$K$16,$L$16,$C$2,$N$16,$Q81)</f>
        <v>13.089809226988605</v>
      </c>
      <c r="AO81" s="7">
        <f>StepperPower($F$17,$G$17,$H$17,$J$17,$K$17,$L$17,$C$2,$N$17,$Q81)</f>
        <v>0</v>
      </c>
      <c r="AP81" s="7" t="e">
        <f>StepperPower($F$18,$G$18,$H$18,$J$18,$K$18,$L$18,$C$2,$N$18,$Q81)</f>
        <v>#VALUE!</v>
      </c>
      <c r="AQ81" s="7" t="e">
        <f>StepperPower($F$19,$G$19,$H$19,$J$19,$K$19,$L$19,$C$2,$N$19,$Q81)</f>
        <v>#VALUE!</v>
      </c>
      <c r="AR81" s="7" t="e">
        <f>StepperPower($F$20,$G$20,$H$20,$J$20,$K$20,$L$20,$C$2,$N$20,$Q81)</f>
        <v>#VALUE!</v>
      </c>
      <c r="AS81" s="7" t="e">
        <f>StepperPower($F$21,$G$21,$H$21,$J$21,$K$21,$L$21,$C$2,$N$21,$Q81)</f>
        <v>#VALUE!</v>
      </c>
      <c r="AT81" s="7" t="e">
        <f>StepperPower($F$22,$G$22,$H$22,$J$22,$K$22,$L$22,$C$2,$N$22,$Q81)</f>
        <v>#VALUE!</v>
      </c>
      <c r="AU81" s="7" t="e">
        <f>StepperPower($F$23,$G$23,$H$23,$J$23,$K$23,$L$23,$C$2,$N$23,$Q81)</f>
        <v>#VALUE!</v>
      </c>
      <c r="AV81" s="7" t="e">
        <f>StepperPower($F$24,$G$24,$H$24,$J$24,$K$24,$L$24,$C$2,$N$24,$Q81)</f>
        <v>#VALUE!</v>
      </c>
      <c r="AW81" s="7" t="e">
        <f>StepperPower($F$25,$G$25,$H$25,$J$25,$K$25,$L$25,$C$2,$N$25,$Q81)</f>
        <v>#VALUE!</v>
      </c>
      <c r="AX81" s="7" t="e">
        <f>StepperPower($F$26,$G$26,$H$26,$J$26,$K$26,$L$26,$C$2,$N$26,$Q81)</f>
        <v>#VALUE!</v>
      </c>
      <c r="AY81" s="7" t="e">
        <f>StepperPower($F$27,$G$27,$H$27,$J$27,$K$27,$L$27,$C$2,$N$27,$Q81)</f>
        <v>#VALUE!</v>
      </c>
      <c r="AZ81" s="7" t="e">
        <f>StepperPower($F$28,$G$28,$H$28,$J$28,$K$28,$L$28,$C$2,$N$28,$Q81)</f>
        <v>#VALUE!</v>
      </c>
      <c r="BA81" s="7" t="e">
        <f>StepperPower($F$29,$G$29,$H$29,$J$29,$K$29,$L$29,$C$2,$N$29,$Q81)</f>
        <v>#VALUE!</v>
      </c>
      <c r="BB81" s="7" t="e">
        <f>StepperPower($F$30,$G$30,$H$30,$J$30,$K$30,$L$30,$C$2,$N$30,$Q81)</f>
        <v>#VALUE!</v>
      </c>
      <c r="BC81" s="7"/>
    </row>
    <row r="82" spans="3:55" x14ac:dyDescent="0.25">
      <c r="Q82">
        <f t="shared" si="11"/>
        <v>39.5</v>
      </c>
      <c r="R82">
        <f t="shared" si="8"/>
        <v>1580</v>
      </c>
      <c r="T82" s="7" cm="1">
        <f t="array" aca="1" ref="T82" ca="1">(_xlfn.SINGLE(SingleCoilTorque($F$15,$G$15,IF($I$15="",$H$15,INDEX(INDIRECT(_xlfn.CONCAT($I$15,"[Torque]")),MATCH(MIN(ABS(INDIRECT(_xlfn.CONCAT($I$15,"[RPM]"))-$R82*60/2/$C$6)),ABS(INDIRECT(_xlfn.CONCAT($I$15,"[RPM]"))-$R82*60/2/$C$6),0))*100),$J$15,$K$15,$L$15,$C$2,$N$15,$Q82))-$O$15)*$C$8</f>
        <v>3.6075017112799146</v>
      </c>
      <c r="U82" s="7" cm="1">
        <f t="array" aca="1" ref="U82" ca="1">(_xlfn.SINGLE(SingleCoilTorque($F$16,$G$16,IF($I$16="",$H$16,INDEX(INDIRECT(_xlfn.CONCAT($I$16,"[Torque]")),MATCH(MIN(ABS(INDIRECT(_xlfn.CONCAT($I$16,"[RPM]"))-$R82*60/2/$C$6)),ABS(INDIRECT(_xlfn.CONCAT($I$16,"[RPM]"))-$R82*60/2/$C$6),0))*100),$J$16,$K$16,$L$16,$C$2,$N$16,$Q82))-$O$16)*$C$8</f>
        <v>7.2564215867800472</v>
      </c>
      <c r="V82" s="7" cm="1">
        <f t="array" aca="1" ref="V82" ca="1">(_xlfn.SINGLE(SingleCoilTorque($F$17,$G$17,IF($I$17="",$H$17,INDEX(INDIRECT(_xlfn.CONCAT($I$17,"[Torque]")),MATCH(MIN(ABS(INDIRECT(_xlfn.CONCAT($I$17,"[RPM]"))-$R82*60/2/$C$6)),ABS(INDIRECT(_xlfn.CONCAT($I$17,"[RPM]"))-$R82*60/2/$C$6),0))*100),$J$17,$K$17,$L$17,$C$2,$N$17,$Q82))-$O$17)*$C$8</f>
        <v>-3.0505535559631456</v>
      </c>
      <c r="W82" s="7" t="e" cm="1">
        <f t="array" aca="1" ref="W82" ca="1">(_xlfn.SINGLE(SingleCoilTorque($F$18,$G$18,IF($I$18="",$H$18,INDEX(INDIRECT(_xlfn.CONCAT($I$18,"[Torque]")),MATCH(MIN(ABS(INDIRECT(_xlfn.CONCAT($I$18,"[RPM]"))-$R82*60/2/$C$6)),ABS(INDIRECT(_xlfn.CONCAT($I$18,"[RPM]"))-$R82*60/2/$C$6),0))*100),$J$18,$K$18,$L$18,$C$2,$N$18,$Q82))-$O$18)*$C$8</f>
        <v>#VALUE!</v>
      </c>
      <c r="X82" s="7" t="e" cm="1">
        <f t="array" aca="1" ref="X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Y82" s="7" t="e" cm="1">
        <f t="array" aca="1" ref="Y82" ca="1">(_xlfn.SINGLE(SingleCoilTorque($F$20,$G$20,IF($I$20="",$H$20,INDEX(INDIRECT(_xlfn.CONCAT($I$20,"[Torque]")),MATCH(MIN(ABS(INDIRECT(_xlfn.CONCAT($I$20,"[RPM]"))-$R82*60/2/$C$6)),ABS(INDIRECT(_xlfn.CONCAT($I$20,"[RPM]"))-$R82*60/2/$C$6),0))*100),$J$20,$K$20,$L$20,$C$2,$N$20,$Q82))-$O$20)*$C$8</f>
        <v>#VALUE!</v>
      </c>
      <c r="Z82" s="7" t="e" cm="1">
        <f t="array" aca="1" ref="Z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A82" s="7" t="e" cm="1">
        <f t="array" aca="1" ref="AA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B82" s="7" t="e" cm="1">
        <f t="array" aca="1" ref="AB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C82" s="7" t="e" cm="1">
        <f t="array" aca="1" ref="AC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D82" s="7" t="e" cm="1">
        <f t="array" aca="1" ref="AD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E82" s="7" t="e" cm="1">
        <f t="array" aca="1" ref="AE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F82" s="7" t="e" cm="1">
        <f t="array" aca="1" ref="AF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G82" s="7" t="e" cm="1">
        <f t="array" aca="1" ref="AG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H82" s="7" t="e" cm="1">
        <f t="array" aca="1" ref="AH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I82" s="7" t="e" cm="1">
        <f t="array" aca="1" ref="AI82" ca="1">(_xlfn.SINGLE(SingleCoilTorque($F$19,$G$19,IF($I$19="",$H$19,INDEX(INDIRECT(_xlfn.CONCAT($I$19,"[Torque]")),MATCH(MIN(ABS(INDIRECT(_xlfn.CONCAT($I$19,"[RPM]"))-$R82*60/2/$C$6)),ABS(INDIRECT(_xlfn.CONCAT($I$19,"[RPM]"))-$R82*60/2/$C$6),0))*100),$J$19,$K$19,$L$19,$C$2,$N$19,$Q82))-$O$19)*$C$8</f>
        <v>#VALUE!</v>
      </c>
      <c r="AJ82" s="7">
        <f t="shared" si="9"/>
        <v>23.8732414637843</v>
      </c>
      <c r="AL82">
        <f t="shared" si="10"/>
        <v>1580</v>
      </c>
      <c r="AM82" s="7">
        <f>StepperPower($F$15,$G$15,$H$15,$J$15,$K$15,$L$15,$C$2,$N$15,$Q82)</f>
        <v>2.6873943560940363</v>
      </c>
      <c r="AN82" s="7">
        <f>StepperPower($F$16,$G$16,$H$16,$J$16,$K$16,$L$16,$C$2,$N$16,$Q82)</f>
        <v>11.999008481434265</v>
      </c>
      <c r="AO82" s="7">
        <f>StepperPower($F$17,$G$17,$H$17,$J$17,$K$17,$L$17,$C$2,$N$17,$Q82)</f>
        <v>0</v>
      </c>
      <c r="AP82" s="7" t="e">
        <f>StepperPower($F$18,$G$18,$H$18,$J$18,$K$18,$L$18,$C$2,$N$18,$Q82)</f>
        <v>#VALUE!</v>
      </c>
      <c r="AQ82" s="7" t="e">
        <f>StepperPower($F$19,$G$19,$H$19,$J$19,$K$19,$L$19,$C$2,$N$19,$Q82)</f>
        <v>#VALUE!</v>
      </c>
      <c r="AR82" s="7" t="e">
        <f>StepperPower($F$20,$G$20,$H$20,$J$20,$K$20,$L$20,$C$2,$N$20,$Q82)</f>
        <v>#VALUE!</v>
      </c>
      <c r="AS82" s="7" t="e">
        <f>StepperPower($F$21,$G$21,$H$21,$J$21,$K$21,$L$21,$C$2,$N$21,$Q82)</f>
        <v>#VALUE!</v>
      </c>
      <c r="AT82" s="7" t="e">
        <f>StepperPower($F$22,$G$22,$H$22,$J$22,$K$22,$L$22,$C$2,$N$22,$Q82)</f>
        <v>#VALUE!</v>
      </c>
      <c r="AU82" s="7" t="e">
        <f>StepperPower($F$23,$G$23,$H$23,$J$23,$K$23,$L$23,$C$2,$N$23,$Q82)</f>
        <v>#VALUE!</v>
      </c>
      <c r="AV82" s="7" t="e">
        <f>StepperPower($F$24,$G$24,$H$24,$J$24,$K$24,$L$24,$C$2,$N$24,$Q82)</f>
        <v>#VALUE!</v>
      </c>
      <c r="AW82" s="7" t="e">
        <f>StepperPower($F$25,$G$25,$H$25,$J$25,$K$25,$L$25,$C$2,$N$25,$Q82)</f>
        <v>#VALUE!</v>
      </c>
      <c r="AX82" s="7" t="e">
        <f>StepperPower($F$26,$G$26,$H$26,$J$26,$K$26,$L$26,$C$2,$N$26,$Q82)</f>
        <v>#VALUE!</v>
      </c>
      <c r="AY82" s="7" t="e">
        <f>StepperPower($F$27,$G$27,$H$27,$J$27,$K$27,$L$27,$C$2,$N$27,$Q82)</f>
        <v>#VALUE!</v>
      </c>
      <c r="AZ82" s="7" t="e">
        <f>StepperPower($F$28,$G$28,$H$28,$J$28,$K$28,$L$28,$C$2,$N$28,$Q82)</f>
        <v>#VALUE!</v>
      </c>
      <c r="BA82" s="7" t="e">
        <f>StepperPower($F$29,$G$29,$H$29,$J$29,$K$29,$L$29,$C$2,$N$29,$Q82)</f>
        <v>#VALUE!</v>
      </c>
      <c r="BB82" s="7" t="e">
        <f>StepperPower($F$30,$G$30,$H$30,$J$30,$K$30,$L$30,$C$2,$N$30,$Q82)</f>
        <v>#VALUE!</v>
      </c>
      <c r="BC82" s="7"/>
    </row>
    <row r="83" spans="3:55" x14ac:dyDescent="0.25">
      <c r="Q83">
        <f t="shared" si="11"/>
        <v>40</v>
      </c>
      <c r="R83">
        <f t="shared" si="8"/>
        <v>1600</v>
      </c>
      <c r="T83" s="7" cm="1">
        <f t="array" aca="1" ref="T83" ca="1">(_xlfn.SINGLE(SingleCoilTorque($F$15,$G$15,IF($I$15="",$H$15,INDEX(INDIRECT(_xlfn.CONCAT($I$15,"[Torque]")),MATCH(MIN(ABS(INDIRECT(_xlfn.CONCAT($I$15,"[RPM]"))-$R83*60/2/$C$6)),ABS(INDIRECT(_xlfn.CONCAT($I$15,"[RPM]"))-$R83*60/2/$C$6),0))*100),$J$15,$K$15,$L$15,$C$2,$N$15,$Q83))-$O$15)*$C$8</f>
        <v>3.3066519150356415</v>
      </c>
      <c r="U83" s="7" cm="1">
        <f t="array" aca="1" ref="U83" ca="1">(_xlfn.SINGLE(SingleCoilTorque($F$16,$G$16,IF($I$16="",$H$16,INDEX(INDIRECT(_xlfn.CONCAT($I$16,"[Torque]")),MATCH(MIN(ABS(INDIRECT(_xlfn.CONCAT($I$16,"[RPM]"))-$R83*60/2/$C$6)),ABS(INDIRECT(_xlfn.CONCAT($I$16,"[RPM]"))-$R83*60/2/$C$6),0))*100),$J$16,$K$16,$L$16,$C$2,$N$16,$Q83))-$O$16)*$C$8</f>
        <v>6.9510535670338989</v>
      </c>
      <c r="V83" s="7" cm="1">
        <f t="array" aca="1" ref="V83" ca="1">(_xlfn.SINGLE(SingleCoilTorque($F$17,$G$17,IF($I$17="",$H$17,INDEX(INDIRECT(_xlfn.CONCAT($I$17,"[Torque]")),MATCH(MIN(ABS(INDIRECT(_xlfn.CONCAT($I$17,"[RPM]"))-$R83*60/2/$C$6)),ABS(INDIRECT(_xlfn.CONCAT($I$17,"[RPM]"))-$R83*60/2/$C$6),0))*100),$J$17,$K$17,$L$17,$C$2,$N$17,$Q83))-$O$17)*$C$8</f>
        <v>-3.249177838155056</v>
      </c>
      <c r="W83" s="7" t="e" cm="1">
        <f t="array" aca="1" ref="W83" ca="1">(_xlfn.SINGLE(SingleCoilTorque($F$18,$G$18,IF($I$18="",$H$18,INDEX(INDIRECT(_xlfn.CONCAT($I$18,"[Torque]")),MATCH(MIN(ABS(INDIRECT(_xlfn.CONCAT($I$18,"[RPM]"))-$R83*60/2/$C$6)),ABS(INDIRECT(_xlfn.CONCAT($I$18,"[RPM]"))-$R83*60/2/$C$6),0))*100),$J$18,$K$18,$L$18,$C$2,$N$18,$Q83))-$O$18)*$C$8</f>
        <v>#VALUE!</v>
      </c>
      <c r="X83" s="7" t="e" cm="1">
        <f t="array" aca="1" ref="X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Y83" s="7" t="e" cm="1">
        <f t="array" aca="1" ref="Y83" ca="1">(_xlfn.SINGLE(SingleCoilTorque($F$20,$G$20,IF($I$20="",$H$20,INDEX(INDIRECT(_xlfn.CONCAT($I$20,"[Torque]")),MATCH(MIN(ABS(INDIRECT(_xlfn.CONCAT($I$20,"[RPM]"))-$R83*60/2/$C$6)),ABS(INDIRECT(_xlfn.CONCAT($I$20,"[RPM]"))-$R83*60/2/$C$6),0))*100),$J$20,$K$20,$L$20,$C$2,$N$20,$Q83))-$O$20)*$C$8</f>
        <v>#VALUE!</v>
      </c>
      <c r="Z83" s="7" t="e" cm="1">
        <f t="array" aca="1" ref="Z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A83" s="7" t="e" cm="1">
        <f t="array" aca="1" ref="AA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B83" s="7" t="e" cm="1">
        <f t="array" aca="1" ref="AB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C83" s="7" t="e" cm="1">
        <f t="array" aca="1" ref="AC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D83" s="7" t="e" cm="1">
        <f t="array" aca="1" ref="AD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E83" s="7" t="e" cm="1">
        <f t="array" aca="1" ref="AE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F83" s="7" t="e" cm="1">
        <f t="array" aca="1" ref="AF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G83" s="7" t="e" cm="1">
        <f t="array" aca="1" ref="AG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H83" s="7" t="e" cm="1">
        <f t="array" aca="1" ref="AH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I83" s="7" t="e" cm="1">
        <f t="array" aca="1" ref="AI83" ca="1">(_xlfn.SINGLE(SingleCoilTorque($F$19,$G$19,IF($I$19="",$H$19,INDEX(INDIRECT(_xlfn.CONCAT($I$19,"[Torque]")),MATCH(MIN(ABS(INDIRECT(_xlfn.CONCAT($I$19,"[RPM]"))-$R83*60/2/$C$6)),ABS(INDIRECT(_xlfn.CONCAT($I$19,"[RPM]"))-$R83*60/2/$C$6),0))*100),$J$19,$K$19,$L$19,$C$2,$N$19,$Q83))-$O$19)*$C$8</f>
        <v>#VALUE!</v>
      </c>
      <c r="AJ83" s="7">
        <f t="shared" si="9"/>
        <v>23.8732414637843</v>
      </c>
      <c r="AL83">
        <f t="shared" si="10"/>
        <v>1600</v>
      </c>
      <c r="AM83" s="7">
        <f>StepperPower($F$15,$G$15,$H$15,$J$15,$K$15,$L$15,$C$2,$N$15,$Q83)</f>
        <v>1.3560630983682778</v>
      </c>
      <c r="AN83" s="7">
        <f>StepperPower($F$16,$G$16,$H$16,$J$16,$K$16,$L$16,$C$2,$N$16,$Q83)</f>
        <v>10.90874741060534</v>
      </c>
      <c r="AO83" s="7">
        <f>StepperPower($F$17,$G$17,$H$17,$J$17,$K$17,$L$17,$C$2,$N$17,$Q83)</f>
        <v>0</v>
      </c>
      <c r="AP83" s="7" t="e">
        <f>StepperPower($F$18,$G$18,$H$18,$J$18,$K$18,$L$18,$C$2,$N$18,$Q83)</f>
        <v>#VALUE!</v>
      </c>
      <c r="AQ83" s="7" t="e">
        <f>StepperPower($F$19,$G$19,$H$19,$J$19,$K$19,$L$19,$C$2,$N$19,$Q83)</f>
        <v>#VALUE!</v>
      </c>
      <c r="AR83" s="7" t="e">
        <f>StepperPower($F$20,$G$20,$H$20,$J$20,$K$20,$L$20,$C$2,$N$20,$Q83)</f>
        <v>#VALUE!</v>
      </c>
      <c r="AS83" s="7" t="e">
        <f>StepperPower($F$21,$G$21,$H$21,$J$21,$K$21,$L$21,$C$2,$N$21,$Q83)</f>
        <v>#VALUE!</v>
      </c>
      <c r="AT83" s="7" t="e">
        <f>StepperPower($F$22,$G$22,$H$22,$J$22,$K$22,$L$22,$C$2,$N$22,$Q83)</f>
        <v>#VALUE!</v>
      </c>
      <c r="AU83" s="7" t="e">
        <f>StepperPower($F$23,$G$23,$H$23,$J$23,$K$23,$L$23,$C$2,$N$23,$Q83)</f>
        <v>#VALUE!</v>
      </c>
      <c r="AV83" s="7" t="e">
        <f>StepperPower($F$24,$G$24,$H$24,$J$24,$K$24,$L$24,$C$2,$N$24,$Q83)</f>
        <v>#VALUE!</v>
      </c>
      <c r="AW83" s="7" t="e">
        <f>StepperPower($F$25,$G$25,$H$25,$J$25,$K$25,$L$25,$C$2,$N$25,$Q83)</f>
        <v>#VALUE!</v>
      </c>
      <c r="AX83" s="7" t="e">
        <f>StepperPower($F$26,$G$26,$H$26,$J$26,$K$26,$L$26,$C$2,$N$26,$Q83)</f>
        <v>#VALUE!</v>
      </c>
      <c r="AY83" s="7" t="e">
        <f>StepperPower($F$27,$G$27,$H$27,$J$27,$K$27,$L$27,$C$2,$N$27,$Q83)</f>
        <v>#VALUE!</v>
      </c>
      <c r="AZ83" s="7" t="e">
        <f>StepperPower($F$28,$G$28,$H$28,$J$28,$K$28,$L$28,$C$2,$N$28,$Q83)</f>
        <v>#VALUE!</v>
      </c>
      <c r="BA83" s="7" t="e">
        <f>StepperPower($F$29,$G$29,$H$29,$J$29,$K$29,$L$29,$C$2,$N$29,$Q83)</f>
        <v>#VALUE!</v>
      </c>
      <c r="BB83" s="7" t="e">
        <f>StepperPower($F$30,$G$30,$H$30,$J$30,$K$30,$L$30,$C$2,$N$30,$Q83)</f>
        <v>#VALUE!</v>
      </c>
      <c r="BC83" s="7"/>
    </row>
    <row r="84" spans="3:55" x14ac:dyDescent="0.25">
      <c r="Q84">
        <f t="shared" si="11"/>
        <v>40.5</v>
      </c>
      <c r="R84">
        <f t="shared" si="8"/>
        <v>1620</v>
      </c>
      <c r="T84" s="7" cm="1">
        <f t="array" aca="1" ref="T84" ca="1">(_xlfn.SINGLE(SingleCoilTorque($F$15,$G$15,IF($I$15="",$H$15,INDEX(INDIRECT(_xlfn.CONCAT($I$15,"[Torque]")),MATCH(MIN(ABS(INDIRECT(_xlfn.CONCAT($I$15,"[RPM]"))-$R84*60/2/$C$6)),ABS(INDIRECT(_xlfn.CONCAT($I$15,"[RPM]"))-$R84*60/2/$C$6),0))*100),$J$15,$K$15,$L$15,$C$2,$N$15,$Q84))-$O$15)*$C$8</f>
        <v>3.0128826875992418</v>
      </c>
      <c r="U84" s="7" cm="1">
        <f t="array" aca="1" ref="U84" ca="1">(_xlfn.SINGLE(SingleCoilTorque($F$16,$G$16,IF($I$16="",$H$16,INDEX(INDIRECT(_xlfn.CONCAT($I$16,"[Torque]")),MATCH(MIN(ABS(INDIRECT(_xlfn.CONCAT($I$16,"[RPM]"))-$R84*60/2/$C$6)),ABS(INDIRECT(_xlfn.CONCAT($I$16,"[RPM]"))-$R84*60/2/$C$6),0))*100),$J$16,$K$16,$L$16,$C$2,$N$16,$Q84))-$O$16)*$C$8</f>
        <v>6.6529062632449669</v>
      </c>
      <c r="V84" s="7" cm="1">
        <f t="array" aca="1" ref="V84" ca="1">(_xlfn.SINGLE(SingleCoilTorque($F$17,$G$17,IF($I$17="",$H$17,INDEX(INDIRECT(_xlfn.CONCAT($I$17,"[Torque]")),MATCH(MIN(ABS(INDIRECT(_xlfn.CONCAT($I$17,"[RPM]"))-$R84*60/2/$C$6)),ABS(INDIRECT(_xlfn.CONCAT($I$17,"[RPM]"))-$R84*60/2/$C$6),0))*100),$J$17,$K$17,$L$17,$C$2,$N$17,$Q84))-$O$17)*$C$8</f>
        <v>-3.4430533345767831</v>
      </c>
      <c r="W84" s="7" t="e" cm="1">
        <f t="array" aca="1" ref="W84" ca="1">(_xlfn.SINGLE(SingleCoilTorque($F$18,$G$18,IF($I$18="",$H$18,INDEX(INDIRECT(_xlfn.CONCAT($I$18,"[Torque]")),MATCH(MIN(ABS(INDIRECT(_xlfn.CONCAT($I$18,"[RPM]"))-$R84*60/2/$C$6)),ABS(INDIRECT(_xlfn.CONCAT($I$18,"[RPM]"))-$R84*60/2/$C$6),0))*100),$J$18,$K$18,$L$18,$C$2,$N$18,$Q84))-$O$18)*$C$8</f>
        <v>#VALUE!</v>
      </c>
      <c r="X84" s="7" t="e" cm="1">
        <f t="array" aca="1" ref="X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Y84" s="7" t="e" cm="1">
        <f t="array" aca="1" ref="Y84" ca="1">(_xlfn.SINGLE(SingleCoilTorque($F$20,$G$20,IF($I$20="",$H$20,INDEX(INDIRECT(_xlfn.CONCAT($I$20,"[Torque]")),MATCH(MIN(ABS(INDIRECT(_xlfn.CONCAT($I$20,"[RPM]"))-$R84*60/2/$C$6)),ABS(INDIRECT(_xlfn.CONCAT($I$20,"[RPM]"))-$R84*60/2/$C$6),0))*100),$J$20,$K$20,$L$20,$C$2,$N$20,$Q84))-$O$20)*$C$8</f>
        <v>#VALUE!</v>
      </c>
      <c r="Z84" s="7" t="e" cm="1">
        <f t="array" aca="1" ref="Z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A84" s="7" t="e" cm="1">
        <f t="array" aca="1" ref="AA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B84" s="7" t="e" cm="1">
        <f t="array" aca="1" ref="AB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C84" s="7" t="e" cm="1">
        <f t="array" aca="1" ref="AC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D84" s="7" t="e" cm="1">
        <f t="array" aca="1" ref="AD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E84" s="7" t="e" cm="1">
        <f t="array" aca="1" ref="AE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F84" s="7" t="e" cm="1">
        <f t="array" aca="1" ref="AF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G84" s="7" t="e" cm="1">
        <f t="array" aca="1" ref="AG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H84" s="7" t="e" cm="1">
        <f t="array" aca="1" ref="AH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I84" s="7" t="e" cm="1">
        <f t="array" aca="1" ref="AI84" ca="1">(_xlfn.SINGLE(SingleCoilTorque($F$19,$G$19,IF($I$19="",$H$19,INDEX(INDIRECT(_xlfn.CONCAT($I$19,"[Torque]")),MATCH(MIN(ABS(INDIRECT(_xlfn.CONCAT($I$19,"[RPM]"))-$R84*60/2/$C$6)),ABS(INDIRECT(_xlfn.CONCAT($I$19,"[RPM]"))-$R84*60/2/$C$6),0))*100),$J$19,$K$19,$L$19,$C$2,$N$19,$Q84))-$O$19)*$C$8</f>
        <v>#VALUE!</v>
      </c>
      <c r="AJ84" s="7">
        <f t="shared" si="9"/>
        <v>23.8732414637843</v>
      </c>
      <c r="AL84">
        <f t="shared" si="10"/>
        <v>1620</v>
      </c>
      <c r="AM84" s="7">
        <f>StepperPower($F$15,$G$15,$H$15,$J$15,$K$15,$L$15,$C$2,$N$15,$Q84)</f>
        <v>2.4790349450877752E-2</v>
      </c>
      <c r="AN84" s="7">
        <f>StepperPower($F$16,$G$16,$H$16,$J$16,$K$16,$L$16,$C$2,$N$16,$Q84)</f>
        <v>9.818954006275483</v>
      </c>
      <c r="AO84" s="7">
        <f>StepperPower($F$17,$G$17,$H$17,$J$17,$K$17,$L$17,$C$2,$N$17,$Q84)</f>
        <v>0</v>
      </c>
      <c r="AP84" s="7" t="e">
        <f>StepperPower($F$18,$G$18,$H$18,$J$18,$K$18,$L$18,$C$2,$N$18,$Q84)</f>
        <v>#VALUE!</v>
      </c>
      <c r="AQ84" s="7" t="e">
        <f>StepperPower($F$19,$G$19,$H$19,$J$19,$K$19,$L$19,$C$2,$N$19,$Q84)</f>
        <v>#VALUE!</v>
      </c>
      <c r="AR84" s="7" t="e">
        <f>StepperPower($F$20,$G$20,$H$20,$J$20,$K$20,$L$20,$C$2,$N$20,$Q84)</f>
        <v>#VALUE!</v>
      </c>
      <c r="AS84" s="7" t="e">
        <f>StepperPower($F$21,$G$21,$H$21,$J$21,$K$21,$L$21,$C$2,$N$21,$Q84)</f>
        <v>#VALUE!</v>
      </c>
      <c r="AT84" s="7" t="e">
        <f>StepperPower($F$22,$G$22,$H$22,$J$22,$K$22,$L$22,$C$2,$N$22,$Q84)</f>
        <v>#VALUE!</v>
      </c>
      <c r="AU84" s="7" t="e">
        <f>StepperPower($F$23,$G$23,$H$23,$J$23,$K$23,$L$23,$C$2,$N$23,$Q84)</f>
        <v>#VALUE!</v>
      </c>
      <c r="AV84" s="7" t="e">
        <f>StepperPower($F$24,$G$24,$H$24,$J$24,$K$24,$L$24,$C$2,$N$24,$Q84)</f>
        <v>#VALUE!</v>
      </c>
      <c r="AW84" s="7" t="e">
        <f>StepperPower($F$25,$G$25,$H$25,$J$25,$K$25,$L$25,$C$2,$N$25,$Q84)</f>
        <v>#VALUE!</v>
      </c>
      <c r="AX84" s="7" t="e">
        <f>StepperPower($F$26,$G$26,$H$26,$J$26,$K$26,$L$26,$C$2,$N$26,$Q84)</f>
        <v>#VALUE!</v>
      </c>
      <c r="AY84" s="7" t="e">
        <f>StepperPower($F$27,$G$27,$H$27,$J$27,$K$27,$L$27,$C$2,$N$27,$Q84)</f>
        <v>#VALUE!</v>
      </c>
      <c r="AZ84" s="7" t="e">
        <f>StepperPower($F$28,$G$28,$H$28,$J$28,$K$28,$L$28,$C$2,$N$28,$Q84)</f>
        <v>#VALUE!</v>
      </c>
      <c r="BA84" s="7" t="e">
        <f>StepperPower($F$29,$G$29,$H$29,$J$29,$K$29,$L$29,$C$2,$N$29,$Q84)</f>
        <v>#VALUE!</v>
      </c>
      <c r="BB84" s="7" t="e">
        <f>StepperPower($F$30,$G$30,$H$30,$J$30,$K$30,$L$30,$C$2,$N$30,$Q84)</f>
        <v>#VALUE!</v>
      </c>
      <c r="BC84" s="7"/>
    </row>
    <row r="85" spans="3:55" x14ac:dyDescent="0.25">
      <c r="Q85">
        <f t="shared" si="11"/>
        <v>41</v>
      </c>
      <c r="R85">
        <f t="shared" si="8"/>
        <v>1640</v>
      </c>
      <c r="T85" s="7" cm="1">
        <f t="array" aca="1" ref="T85" ca="1">(_xlfn.SINGLE(SingleCoilTorque($F$15,$G$15,IF($I$15="",$H$15,INDEX(INDIRECT(_xlfn.CONCAT($I$15,"[Torque]")),MATCH(MIN(ABS(INDIRECT(_xlfn.CONCAT($I$15,"[RPM]"))-$R85*60/2/$C$6)),ABS(INDIRECT(_xlfn.CONCAT($I$15,"[RPM]"))-$R85*60/2/$C$6),0))*100),$J$15,$K$15,$L$15,$C$2,$N$15,$Q85))-$O$15)*$C$8</f>
        <v>2.7259469720304654</v>
      </c>
      <c r="U85" s="7" cm="1">
        <f t="array" aca="1" ref="U85" ca="1">(_xlfn.SINGLE(SingleCoilTorque($F$16,$G$16,IF($I$16="",$H$16,INDEX(INDIRECT(_xlfn.CONCAT($I$16,"[Torque]")),MATCH(MIN(ABS(INDIRECT(_xlfn.CONCAT($I$16,"[RPM]"))-$R85*60/2/$C$6)),ABS(INDIRECT(_xlfn.CONCAT($I$16,"[RPM]"))-$R85*60/2/$C$6),0))*100),$J$16,$K$16,$L$16,$C$2,$N$16,$Q85))-$O$16)*$C$8</f>
        <v>6.3617265570268415</v>
      </c>
      <c r="V85" s="7" cm="1">
        <f t="array" aca="1" ref="V85" ca="1">(_xlfn.SINGLE(SingleCoilTorque($F$17,$G$17,IF($I$17="",$H$17,INDEX(INDIRECT(_xlfn.CONCAT($I$17,"[Torque]")),MATCH(MIN(ABS(INDIRECT(_xlfn.CONCAT($I$17,"[RPM]"))-$R85*60/2/$C$6)),ABS(INDIRECT(_xlfn.CONCAT($I$17,"[RPM]"))-$R85*60/2/$C$6),0))*100),$J$17,$K$17,$L$17,$C$2,$N$17,$Q85))-$O$17)*$C$8</f>
        <v>-3.6323483371308627</v>
      </c>
      <c r="W85" s="7" t="e" cm="1">
        <f t="array" aca="1" ref="W85" ca="1">(_xlfn.SINGLE(SingleCoilTorque($F$18,$G$18,IF($I$18="",$H$18,INDEX(INDIRECT(_xlfn.CONCAT($I$18,"[Torque]")),MATCH(MIN(ABS(INDIRECT(_xlfn.CONCAT($I$18,"[RPM]"))-$R85*60/2/$C$6)),ABS(INDIRECT(_xlfn.CONCAT($I$18,"[RPM]"))-$R85*60/2/$C$6),0))*100),$J$18,$K$18,$L$18,$C$2,$N$18,$Q85))-$O$18)*$C$8</f>
        <v>#VALUE!</v>
      </c>
      <c r="X85" s="7" t="e" cm="1">
        <f t="array" aca="1" ref="X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Y85" s="7" t="e" cm="1">
        <f t="array" aca="1" ref="Y85" ca="1">(_xlfn.SINGLE(SingleCoilTorque($F$20,$G$20,IF($I$20="",$H$20,INDEX(INDIRECT(_xlfn.CONCAT($I$20,"[Torque]")),MATCH(MIN(ABS(INDIRECT(_xlfn.CONCAT($I$20,"[RPM]"))-$R85*60/2/$C$6)),ABS(INDIRECT(_xlfn.CONCAT($I$20,"[RPM]"))-$R85*60/2/$C$6),0))*100),$J$20,$K$20,$L$20,$C$2,$N$20,$Q85))-$O$20)*$C$8</f>
        <v>#VALUE!</v>
      </c>
      <c r="Z85" s="7" t="e" cm="1">
        <f t="array" aca="1" ref="Z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A85" s="7" t="e" cm="1">
        <f t="array" aca="1" ref="AA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B85" s="7" t="e" cm="1">
        <f t="array" aca="1" ref="AB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C85" s="7" t="e" cm="1">
        <f t="array" aca="1" ref="AC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D85" s="7" t="e" cm="1">
        <f t="array" aca="1" ref="AD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E85" s="7" t="e" cm="1">
        <f t="array" aca="1" ref="AE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F85" s="7" t="e" cm="1">
        <f t="array" aca="1" ref="AF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G85" s="7" t="e" cm="1">
        <f t="array" aca="1" ref="AG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H85" s="7" t="e" cm="1">
        <f t="array" aca="1" ref="AH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I85" s="7" t="e" cm="1">
        <f t="array" aca="1" ref="AI85" ca="1">(_xlfn.SINGLE(SingleCoilTorque($F$19,$G$19,IF($I$19="",$H$19,INDEX(INDIRECT(_xlfn.CONCAT($I$19,"[Torque]")),MATCH(MIN(ABS(INDIRECT(_xlfn.CONCAT($I$19,"[RPM]"))-$R85*60/2/$C$6)),ABS(INDIRECT(_xlfn.CONCAT($I$19,"[RPM]"))-$R85*60/2/$C$6),0))*100),$J$19,$K$19,$L$19,$C$2,$N$19,$Q85))-$O$19)*$C$8</f>
        <v>#VALUE!</v>
      </c>
      <c r="AJ85" s="7">
        <f t="shared" si="9"/>
        <v>23.8732414637843</v>
      </c>
      <c r="AL85">
        <f t="shared" si="10"/>
        <v>1640</v>
      </c>
      <c r="AM85" s="7">
        <f>StepperPower($F$15,$G$15,$H$15,$J$15,$K$15,$L$15,$C$2,$N$15,$Q85)</f>
        <v>0</v>
      </c>
      <c r="AN85" s="7">
        <f>StepperPower($F$16,$G$16,$H$16,$J$16,$K$16,$L$16,$C$2,$N$16,$Q85)</f>
        <v>8.7295620679047801</v>
      </c>
      <c r="AO85" s="7">
        <f>StepperPower($F$17,$G$17,$H$17,$J$17,$K$17,$L$17,$C$2,$N$17,$Q85)</f>
        <v>0</v>
      </c>
      <c r="AP85" s="7" t="e">
        <f>StepperPower($F$18,$G$18,$H$18,$J$18,$K$18,$L$18,$C$2,$N$18,$Q85)</f>
        <v>#VALUE!</v>
      </c>
      <c r="AQ85" s="7" t="e">
        <f>StepperPower($F$19,$G$19,$H$19,$J$19,$K$19,$L$19,$C$2,$N$19,$Q85)</f>
        <v>#VALUE!</v>
      </c>
      <c r="AR85" s="7" t="e">
        <f>StepperPower($F$20,$G$20,$H$20,$J$20,$K$20,$L$20,$C$2,$N$20,$Q85)</f>
        <v>#VALUE!</v>
      </c>
      <c r="AS85" s="7" t="e">
        <f>StepperPower($F$21,$G$21,$H$21,$J$21,$K$21,$L$21,$C$2,$N$21,$Q85)</f>
        <v>#VALUE!</v>
      </c>
      <c r="AT85" s="7" t="e">
        <f>StepperPower($F$22,$G$22,$H$22,$J$22,$K$22,$L$22,$C$2,$N$22,$Q85)</f>
        <v>#VALUE!</v>
      </c>
      <c r="AU85" s="7" t="e">
        <f>StepperPower($F$23,$G$23,$H$23,$J$23,$K$23,$L$23,$C$2,$N$23,$Q85)</f>
        <v>#VALUE!</v>
      </c>
      <c r="AV85" s="7" t="e">
        <f>StepperPower($F$24,$G$24,$H$24,$J$24,$K$24,$L$24,$C$2,$N$24,$Q85)</f>
        <v>#VALUE!</v>
      </c>
      <c r="AW85" s="7" t="e">
        <f>StepperPower($F$25,$G$25,$H$25,$J$25,$K$25,$L$25,$C$2,$N$25,$Q85)</f>
        <v>#VALUE!</v>
      </c>
      <c r="AX85" s="7" t="e">
        <f>StepperPower($F$26,$G$26,$H$26,$J$26,$K$26,$L$26,$C$2,$N$26,$Q85)</f>
        <v>#VALUE!</v>
      </c>
      <c r="AY85" s="7" t="e">
        <f>StepperPower($F$27,$G$27,$H$27,$J$27,$K$27,$L$27,$C$2,$N$27,$Q85)</f>
        <v>#VALUE!</v>
      </c>
      <c r="AZ85" s="7" t="e">
        <f>StepperPower($F$28,$G$28,$H$28,$J$28,$K$28,$L$28,$C$2,$N$28,$Q85)</f>
        <v>#VALUE!</v>
      </c>
      <c r="BA85" s="7" t="e">
        <f>StepperPower($F$29,$G$29,$H$29,$J$29,$K$29,$L$29,$C$2,$N$29,$Q85)</f>
        <v>#VALUE!</v>
      </c>
      <c r="BB85" s="7" t="e">
        <f>StepperPower($F$30,$G$30,$H$30,$J$30,$K$30,$L$30,$C$2,$N$30,$Q85)</f>
        <v>#VALUE!</v>
      </c>
      <c r="BC85" s="7"/>
    </row>
    <row r="86" spans="3:55" x14ac:dyDescent="0.25">
      <c r="Q86">
        <f t="shared" si="11"/>
        <v>41.5</v>
      </c>
      <c r="R86">
        <f t="shared" si="8"/>
        <v>1660</v>
      </c>
      <c r="T86" s="7" cm="1">
        <f t="array" aca="1" ref="T86" ca="1">(_xlfn.SINGLE(SingleCoilTorque($F$15,$G$15,IF($I$15="",$H$15,INDEX(INDIRECT(_xlfn.CONCAT($I$15,"[Torque]")),MATCH(MIN(ABS(INDIRECT(_xlfn.CONCAT($I$15,"[RPM]"))-$R86*60/2/$C$6)),ABS(INDIRECT(_xlfn.CONCAT($I$15,"[RPM]"))-$R86*60/2/$C$6),0))*100),$J$15,$K$15,$L$15,$C$2,$N$15,$Q86))-$O$15)*$C$8</f>
        <v>2.4456090730725322</v>
      </c>
      <c r="U86" s="7" cm="1">
        <f t="array" aca="1" ref="U86" ca="1">(_xlfn.SINGLE(SingleCoilTorque($F$16,$G$16,IF($I$16="",$H$16,INDEX(INDIRECT(_xlfn.CONCAT($I$16,"[Torque]")),MATCH(MIN(ABS(INDIRECT(_xlfn.CONCAT($I$16,"[RPM]"))-$R86*60/2/$C$6)),ABS(INDIRECT(_xlfn.CONCAT($I$16,"[RPM]"))-$R86*60/2/$C$6),0))*100),$J$16,$K$16,$L$16,$C$2,$N$16,$Q86))-$O$16)*$C$8</f>
        <v>6.0772730239268133</v>
      </c>
      <c r="V86" s="7" cm="1">
        <f t="array" aca="1" ref="V86" ca="1">(_xlfn.SINGLE(SingleCoilTorque($F$17,$G$17,IF($I$17="",$H$17,INDEX(INDIRECT(_xlfn.CONCAT($I$17,"[Torque]")),MATCH(MIN(ABS(INDIRECT(_xlfn.CONCAT($I$17,"[RPM]"))-$R86*60/2/$C$6)),ABS(INDIRECT(_xlfn.CONCAT($I$17,"[RPM]"))-$R86*60/2/$C$6),0))*100),$J$17,$K$17,$L$17,$C$2,$N$17,$Q86))-$O$17)*$C$8</f>
        <v>-3.8172232784472158</v>
      </c>
      <c r="W86" s="7" t="e" cm="1">
        <f t="array" aca="1" ref="W86" ca="1">(_xlfn.SINGLE(SingleCoilTorque($F$18,$G$18,IF($I$18="",$H$18,INDEX(INDIRECT(_xlfn.CONCAT($I$18,"[Torque]")),MATCH(MIN(ABS(INDIRECT(_xlfn.CONCAT($I$18,"[RPM]"))-$R86*60/2/$C$6)),ABS(INDIRECT(_xlfn.CONCAT($I$18,"[RPM]"))-$R86*60/2/$C$6),0))*100),$J$18,$K$18,$L$18,$C$2,$N$18,$Q86))-$O$18)*$C$8</f>
        <v>#VALUE!</v>
      </c>
      <c r="X86" s="7" t="e" cm="1">
        <f t="array" aca="1" ref="X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Y86" s="7" t="e" cm="1">
        <f t="array" aca="1" ref="Y86" ca="1">(_xlfn.SINGLE(SingleCoilTorque($F$20,$G$20,IF($I$20="",$H$20,INDEX(INDIRECT(_xlfn.CONCAT($I$20,"[Torque]")),MATCH(MIN(ABS(INDIRECT(_xlfn.CONCAT($I$20,"[RPM]"))-$R86*60/2/$C$6)),ABS(INDIRECT(_xlfn.CONCAT($I$20,"[RPM]"))-$R86*60/2/$C$6),0))*100),$J$20,$K$20,$L$20,$C$2,$N$20,$Q86))-$O$20)*$C$8</f>
        <v>#VALUE!</v>
      </c>
      <c r="Z86" s="7" t="e" cm="1">
        <f t="array" aca="1" ref="Z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A86" s="7" t="e" cm="1">
        <f t="array" aca="1" ref="AA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B86" s="7" t="e" cm="1">
        <f t="array" aca="1" ref="AB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C86" s="7" t="e" cm="1">
        <f t="array" aca="1" ref="AC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D86" s="7" t="e" cm="1">
        <f t="array" aca="1" ref="AD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E86" s="7" t="e" cm="1">
        <f t="array" aca="1" ref="AE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F86" s="7" t="e" cm="1">
        <f t="array" aca="1" ref="AF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G86" s="7" t="e" cm="1">
        <f t="array" aca="1" ref="AG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H86" s="7" t="e" cm="1">
        <f t="array" aca="1" ref="AH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I86" s="7" t="e" cm="1">
        <f t="array" aca="1" ref="AI86" ca="1">(_xlfn.SINGLE(SingleCoilTorque($F$19,$G$19,IF($I$19="",$H$19,INDEX(INDIRECT(_xlfn.CONCAT($I$19,"[Torque]")),MATCH(MIN(ABS(INDIRECT(_xlfn.CONCAT($I$19,"[RPM]"))-$R86*60/2/$C$6)),ABS(INDIRECT(_xlfn.CONCAT($I$19,"[RPM]"))-$R86*60/2/$C$6),0))*100),$J$19,$K$19,$L$19,$C$2,$N$19,$Q86))-$O$19)*$C$8</f>
        <v>#VALUE!</v>
      </c>
      <c r="AJ86" s="7">
        <f t="shared" si="9"/>
        <v>23.8732414637843</v>
      </c>
      <c r="AL86">
        <f t="shared" si="10"/>
        <v>1660</v>
      </c>
      <c r="AM86" s="7">
        <f>StepperPower($F$15,$G$15,$H$15,$J$15,$K$15,$L$15,$C$2,$N$15,$Q86)</f>
        <v>0</v>
      </c>
      <c r="AN86" s="7">
        <f>StepperPower($F$16,$G$16,$H$16,$J$16,$K$16,$L$16,$C$2,$N$16,$Q86)</f>
        <v>7.6405107278505566</v>
      </c>
      <c r="AO86" s="7">
        <f>StepperPower($F$17,$G$17,$H$17,$J$17,$K$17,$L$17,$C$2,$N$17,$Q86)</f>
        <v>0</v>
      </c>
      <c r="AP86" s="7" t="e">
        <f>StepperPower($F$18,$G$18,$H$18,$J$18,$K$18,$L$18,$C$2,$N$18,$Q86)</f>
        <v>#VALUE!</v>
      </c>
      <c r="AQ86" s="7" t="e">
        <f>StepperPower($F$19,$G$19,$H$19,$J$19,$K$19,$L$19,$C$2,$N$19,$Q86)</f>
        <v>#VALUE!</v>
      </c>
      <c r="AR86" s="7" t="e">
        <f>StepperPower($F$20,$G$20,$H$20,$J$20,$K$20,$L$20,$C$2,$N$20,$Q86)</f>
        <v>#VALUE!</v>
      </c>
      <c r="AS86" s="7" t="e">
        <f>StepperPower($F$21,$G$21,$H$21,$J$21,$K$21,$L$21,$C$2,$N$21,$Q86)</f>
        <v>#VALUE!</v>
      </c>
      <c r="AT86" s="7" t="e">
        <f>StepperPower($F$22,$G$22,$H$22,$J$22,$K$22,$L$22,$C$2,$N$22,$Q86)</f>
        <v>#VALUE!</v>
      </c>
      <c r="AU86" s="7" t="e">
        <f>StepperPower($F$23,$G$23,$H$23,$J$23,$K$23,$L$23,$C$2,$N$23,$Q86)</f>
        <v>#VALUE!</v>
      </c>
      <c r="AV86" s="7" t="e">
        <f>StepperPower($F$24,$G$24,$H$24,$J$24,$K$24,$L$24,$C$2,$N$24,$Q86)</f>
        <v>#VALUE!</v>
      </c>
      <c r="AW86" s="7" t="e">
        <f>StepperPower($F$25,$G$25,$H$25,$J$25,$K$25,$L$25,$C$2,$N$25,$Q86)</f>
        <v>#VALUE!</v>
      </c>
      <c r="AX86" s="7" t="e">
        <f>StepperPower($F$26,$G$26,$H$26,$J$26,$K$26,$L$26,$C$2,$N$26,$Q86)</f>
        <v>#VALUE!</v>
      </c>
      <c r="AY86" s="7" t="e">
        <f>StepperPower($F$27,$G$27,$H$27,$J$27,$K$27,$L$27,$C$2,$N$27,$Q86)</f>
        <v>#VALUE!</v>
      </c>
      <c r="AZ86" s="7" t="e">
        <f>StepperPower($F$28,$G$28,$H$28,$J$28,$K$28,$L$28,$C$2,$N$28,$Q86)</f>
        <v>#VALUE!</v>
      </c>
      <c r="BA86" s="7" t="e">
        <f>StepperPower($F$29,$G$29,$H$29,$J$29,$K$29,$L$29,$C$2,$N$29,$Q86)</f>
        <v>#VALUE!</v>
      </c>
      <c r="BB86" s="7" t="e">
        <f>StepperPower($F$30,$G$30,$H$30,$J$30,$K$30,$L$30,$C$2,$N$30,$Q86)</f>
        <v>#VALUE!</v>
      </c>
      <c r="BC86" s="7"/>
    </row>
    <row r="87" spans="3:55" x14ac:dyDescent="0.25">
      <c r="Q87">
        <f t="shared" si="11"/>
        <v>42</v>
      </c>
      <c r="R87">
        <f t="shared" si="8"/>
        <v>1680</v>
      </c>
      <c r="T87" s="7" cm="1">
        <f t="array" aca="1" ref="T87" ca="1">(_xlfn.SINGLE(SingleCoilTorque($F$15,$G$15,IF($I$15="",$H$15,INDEX(INDIRECT(_xlfn.CONCAT($I$15,"[Torque]")),MATCH(MIN(ABS(INDIRECT(_xlfn.CONCAT($I$15,"[RPM]"))-$R87*60/2/$C$6)),ABS(INDIRECT(_xlfn.CONCAT($I$15,"[RPM]"))-$R87*60/2/$C$6),0))*100),$J$15,$K$15,$L$15,$C$2,$N$15,$Q87))-$O$15)*$C$8</f>
        <v>2.171644011447714</v>
      </c>
      <c r="U87" s="7" cm="1">
        <f t="array" aca="1" ref="U87" ca="1">(_xlfn.SINGLE(SingleCoilTorque($F$16,$G$16,IF($I$16="",$H$16,INDEX(INDIRECT(_xlfn.CONCAT($I$16,"[Torque]")),MATCH(MIN(ABS(INDIRECT(_xlfn.CONCAT($I$16,"[RPM]"))-$R87*60/2/$C$6)),ABS(INDIRECT(_xlfn.CONCAT($I$16,"[RPM]"))-$R87*60/2/$C$6),0))*100),$J$16,$K$16,$L$16,$C$2,$N$16,$Q87))-$O$16)*$C$8</f>
        <v>5.7993152658197609</v>
      </c>
      <c r="V87" s="7" cm="1">
        <f t="array" aca="1" ref="V87" ca="1">(_xlfn.SINGLE(SingleCoilTorque($F$17,$G$17,IF($I$17="",$H$17,INDEX(INDIRECT(_xlfn.CONCAT($I$17,"[Torque]")),MATCH(MIN(ABS(INDIRECT(_xlfn.CONCAT($I$17,"[RPM]"))-$R87*60/2/$C$6)),ABS(INDIRECT(_xlfn.CONCAT($I$17,"[RPM]"))-$R87*60/2/$C$6),0))*100),$J$17,$K$17,$L$17,$C$2,$N$17,$Q87))-$O$17)*$C$8</f>
        <v>-3.9978311853760164</v>
      </c>
      <c r="W87" s="7" t="e" cm="1">
        <f t="array" aca="1" ref="W87" ca="1">(_xlfn.SINGLE(SingleCoilTorque($F$18,$G$18,IF($I$18="",$H$18,INDEX(INDIRECT(_xlfn.CONCAT($I$18,"[Torque]")),MATCH(MIN(ABS(INDIRECT(_xlfn.CONCAT($I$18,"[RPM]"))-$R87*60/2/$C$6)),ABS(INDIRECT(_xlfn.CONCAT($I$18,"[RPM]"))-$R87*60/2/$C$6),0))*100),$J$18,$K$18,$L$18,$C$2,$N$18,$Q87))-$O$18)*$C$8</f>
        <v>#VALUE!</v>
      </c>
      <c r="X87" s="7" t="e" cm="1">
        <f t="array" aca="1" ref="X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Y87" s="7" t="e" cm="1">
        <f t="array" aca="1" ref="Y87" ca="1">(_xlfn.SINGLE(SingleCoilTorque($F$20,$G$20,IF($I$20="",$H$20,INDEX(INDIRECT(_xlfn.CONCAT($I$20,"[Torque]")),MATCH(MIN(ABS(INDIRECT(_xlfn.CONCAT($I$20,"[RPM]"))-$R87*60/2/$C$6)),ABS(INDIRECT(_xlfn.CONCAT($I$20,"[RPM]"))-$R87*60/2/$C$6),0))*100),$J$20,$K$20,$L$20,$C$2,$N$20,$Q87))-$O$20)*$C$8</f>
        <v>#VALUE!</v>
      </c>
      <c r="Z87" s="7" t="e" cm="1">
        <f t="array" aca="1" ref="Z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A87" s="7" t="e" cm="1">
        <f t="array" aca="1" ref="AA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B87" s="7" t="e" cm="1">
        <f t="array" aca="1" ref="AB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C87" s="7" t="e" cm="1">
        <f t="array" aca="1" ref="AC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D87" s="7" t="e" cm="1">
        <f t="array" aca="1" ref="AD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E87" s="7" t="e" cm="1">
        <f t="array" aca="1" ref="AE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F87" s="7" t="e" cm="1">
        <f t="array" aca="1" ref="AF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G87" s="7" t="e" cm="1">
        <f t="array" aca="1" ref="AG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H87" s="7" t="e" cm="1">
        <f t="array" aca="1" ref="AH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I87" s="7" t="e" cm="1">
        <f t="array" aca="1" ref="AI87" ca="1">(_xlfn.SINGLE(SingleCoilTorque($F$19,$G$19,IF($I$19="",$H$19,INDEX(INDIRECT(_xlfn.CONCAT($I$19,"[Torque]")),MATCH(MIN(ABS(INDIRECT(_xlfn.CONCAT($I$19,"[RPM]"))-$R87*60/2/$C$6)),ABS(INDIRECT(_xlfn.CONCAT($I$19,"[RPM]"))-$R87*60/2/$C$6),0))*100),$J$19,$K$19,$L$19,$C$2,$N$19,$Q87))-$O$19)*$C$8</f>
        <v>#VALUE!</v>
      </c>
      <c r="AJ87" s="7">
        <f t="shared" si="9"/>
        <v>23.8732414637843</v>
      </c>
      <c r="AL87">
        <f t="shared" si="10"/>
        <v>1680</v>
      </c>
      <c r="AM87" s="7">
        <f>StepperPower($F$15,$G$15,$H$15,$J$15,$K$15,$L$15,$C$2,$N$15,$Q87)</f>
        <v>0</v>
      </c>
      <c r="AN87" s="7">
        <f>StepperPower($F$16,$G$16,$H$16,$J$16,$K$16,$L$16,$C$2,$N$16,$Q87)</f>
        <v>6.5517440185459197</v>
      </c>
      <c r="AO87" s="7">
        <f>StepperPower($F$17,$G$17,$H$17,$J$17,$K$17,$L$17,$C$2,$N$17,$Q87)</f>
        <v>0</v>
      </c>
      <c r="AP87" s="7" t="e">
        <f>StepperPower($F$18,$G$18,$H$18,$J$18,$K$18,$L$18,$C$2,$N$18,$Q87)</f>
        <v>#VALUE!</v>
      </c>
      <c r="AQ87" s="7" t="e">
        <f>StepperPower($F$19,$G$19,$H$19,$J$19,$K$19,$L$19,$C$2,$N$19,$Q87)</f>
        <v>#VALUE!</v>
      </c>
      <c r="AR87" s="7" t="e">
        <f>StepperPower($F$20,$G$20,$H$20,$J$20,$K$20,$L$20,$C$2,$N$20,$Q87)</f>
        <v>#VALUE!</v>
      </c>
      <c r="AS87" s="7" t="e">
        <f>StepperPower($F$21,$G$21,$H$21,$J$21,$K$21,$L$21,$C$2,$N$21,$Q87)</f>
        <v>#VALUE!</v>
      </c>
      <c r="AT87" s="7" t="e">
        <f>StepperPower($F$22,$G$22,$H$22,$J$22,$K$22,$L$22,$C$2,$N$22,$Q87)</f>
        <v>#VALUE!</v>
      </c>
      <c r="AU87" s="7" t="e">
        <f>StepperPower($F$23,$G$23,$H$23,$J$23,$K$23,$L$23,$C$2,$N$23,$Q87)</f>
        <v>#VALUE!</v>
      </c>
      <c r="AV87" s="7" t="e">
        <f>StepperPower($F$24,$G$24,$H$24,$J$24,$K$24,$L$24,$C$2,$N$24,$Q87)</f>
        <v>#VALUE!</v>
      </c>
      <c r="AW87" s="7" t="e">
        <f>StepperPower($F$25,$G$25,$H$25,$J$25,$K$25,$L$25,$C$2,$N$25,$Q87)</f>
        <v>#VALUE!</v>
      </c>
      <c r="AX87" s="7" t="e">
        <f>StepperPower($F$26,$G$26,$H$26,$J$26,$K$26,$L$26,$C$2,$N$26,$Q87)</f>
        <v>#VALUE!</v>
      </c>
      <c r="AY87" s="7" t="e">
        <f>StepperPower($F$27,$G$27,$H$27,$J$27,$K$27,$L$27,$C$2,$N$27,$Q87)</f>
        <v>#VALUE!</v>
      </c>
      <c r="AZ87" s="7" t="e">
        <f>StepperPower($F$28,$G$28,$H$28,$J$28,$K$28,$L$28,$C$2,$N$28,$Q87)</f>
        <v>#VALUE!</v>
      </c>
      <c r="BA87" s="7" t="e">
        <f>StepperPower($F$29,$G$29,$H$29,$J$29,$K$29,$L$29,$C$2,$N$29,$Q87)</f>
        <v>#VALUE!</v>
      </c>
      <c r="BB87" s="7" t="e">
        <f>StepperPower($F$30,$G$30,$H$30,$J$30,$K$30,$L$30,$C$2,$N$30,$Q87)</f>
        <v>#VALUE!</v>
      </c>
      <c r="BC87" s="7"/>
    </row>
    <row r="88" spans="3:55" x14ac:dyDescent="0.25">
      <c r="Q88">
        <f t="shared" si="11"/>
        <v>42.5</v>
      </c>
      <c r="R88">
        <f t="shared" si="8"/>
        <v>1700</v>
      </c>
      <c r="T88" s="7" cm="1">
        <f t="array" aca="1" ref="T88" ca="1">(_xlfn.SINGLE(SingleCoilTorque($F$15,$G$15,IF($I$15="",$H$15,INDEX(INDIRECT(_xlfn.CONCAT($I$15,"[Torque]")),MATCH(MIN(ABS(INDIRECT(_xlfn.CONCAT($I$15,"[RPM]"))-$R88*60/2/$C$6)),ABS(INDIRECT(_xlfn.CONCAT($I$15,"[RPM]"))-$R88*60/2/$C$6),0))*100),$J$15,$K$15,$L$15,$C$2,$N$15,$Q88))-$O$15)*$C$8</f>
        <v>1.9038369216939657</v>
      </c>
      <c r="U88" s="7" cm="1">
        <f t="array" aca="1" ref="U88" ca="1">(_xlfn.SINGLE(SingleCoilTorque($F$16,$G$16,IF($I$16="",$H$16,INDEX(INDIRECT(_xlfn.CONCAT($I$16,"[Torque]")),MATCH(MIN(ABS(INDIRECT(_xlfn.CONCAT($I$16,"[RPM]"))-$R88*60/2/$C$6)),ABS(INDIRECT(_xlfn.CONCAT($I$16,"[RPM]"))-$R88*60/2/$C$6),0))*100),$J$16,$K$16,$L$16,$C$2,$N$16,$Q88))-$O$16)*$C$8</f>
        <v>5.5276332885221002</v>
      </c>
      <c r="V88" s="7" cm="1">
        <f t="array" aca="1" ref="V88" ca="1">(_xlfn.SINGLE(SingleCoilTorque($F$17,$G$17,IF($I$17="",$H$17,INDEX(INDIRECT(_xlfn.CONCAT($I$17,"[Torque]")),MATCH(MIN(ABS(INDIRECT(_xlfn.CONCAT($I$17,"[RPM]"))-$R88*60/2/$C$6)),ABS(INDIRECT(_xlfn.CONCAT($I$17,"[RPM]"))-$R88*60/2/$C$6),0))*100),$J$17,$K$17,$L$17,$C$2,$N$17,$Q88))-$O$17)*$C$8</f>
        <v>-4.1743181014380459</v>
      </c>
      <c r="W88" s="7" t="e" cm="1">
        <f t="array" aca="1" ref="W88" ca="1">(_xlfn.SINGLE(SingleCoilTorque($F$18,$G$18,IF($I$18="",$H$18,INDEX(INDIRECT(_xlfn.CONCAT($I$18,"[Torque]")),MATCH(MIN(ABS(INDIRECT(_xlfn.CONCAT($I$18,"[RPM]"))-$R88*60/2/$C$6)),ABS(INDIRECT(_xlfn.CONCAT($I$18,"[RPM]"))-$R88*60/2/$C$6),0))*100),$J$18,$K$18,$L$18,$C$2,$N$18,$Q88))-$O$18)*$C$8</f>
        <v>#VALUE!</v>
      </c>
      <c r="X88" s="7" t="e" cm="1">
        <f t="array" aca="1" ref="X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Y88" s="7" t="e" cm="1">
        <f t="array" aca="1" ref="Y88" ca="1">(_xlfn.SINGLE(SingleCoilTorque($F$20,$G$20,IF($I$20="",$H$20,INDEX(INDIRECT(_xlfn.CONCAT($I$20,"[Torque]")),MATCH(MIN(ABS(INDIRECT(_xlfn.CONCAT($I$20,"[RPM]"))-$R88*60/2/$C$6)),ABS(INDIRECT(_xlfn.CONCAT($I$20,"[RPM]"))-$R88*60/2/$C$6),0))*100),$J$20,$K$20,$L$20,$C$2,$N$20,$Q88))-$O$20)*$C$8</f>
        <v>#VALUE!</v>
      </c>
      <c r="Z88" s="7" t="e" cm="1">
        <f t="array" aca="1" ref="Z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A88" s="7" t="e" cm="1">
        <f t="array" aca="1" ref="AA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B88" s="7" t="e" cm="1">
        <f t="array" aca="1" ref="AB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C88" s="7" t="e" cm="1">
        <f t="array" aca="1" ref="AC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D88" s="7" t="e" cm="1">
        <f t="array" aca="1" ref="AD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E88" s="7" t="e" cm="1">
        <f t="array" aca="1" ref="AE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F88" s="7" t="e" cm="1">
        <f t="array" aca="1" ref="AF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G88" s="7" t="e" cm="1">
        <f t="array" aca="1" ref="AG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H88" s="7" t="e" cm="1">
        <f t="array" aca="1" ref="AH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I88" s="7" t="e" cm="1">
        <f t="array" aca="1" ref="AI88" ca="1">(_xlfn.SINGLE(SingleCoilTorque($F$19,$G$19,IF($I$19="",$H$19,INDEX(INDIRECT(_xlfn.CONCAT($I$19,"[Torque]")),MATCH(MIN(ABS(INDIRECT(_xlfn.CONCAT($I$19,"[RPM]"))-$R88*60/2/$C$6)),ABS(INDIRECT(_xlfn.CONCAT($I$19,"[RPM]"))-$R88*60/2/$C$6),0))*100),$J$19,$K$19,$L$19,$C$2,$N$19,$Q88))-$O$19)*$C$8</f>
        <v>#VALUE!</v>
      </c>
      <c r="AJ88" s="7">
        <f t="shared" si="9"/>
        <v>23.8732414637843</v>
      </c>
      <c r="AL88">
        <f t="shared" si="10"/>
        <v>1700</v>
      </c>
      <c r="AM88" s="7">
        <f>StepperPower($F$15,$G$15,$H$15,$J$15,$K$15,$L$15,$C$2,$N$15,$Q88)</f>
        <v>0</v>
      </c>
      <c r="AN88" s="7">
        <f>StepperPower($F$16,$G$16,$H$16,$J$16,$K$16,$L$16,$C$2,$N$16,$Q88)</f>
        <v>5.4632104775919661</v>
      </c>
      <c r="AO88" s="7">
        <f>StepperPower($F$17,$G$17,$H$17,$J$17,$K$17,$L$17,$C$2,$N$17,$Q88)</f>
        <v>0</v>
      </c>
      <c r="AP88" s="7" t="e">
        <f>StepperPower($F$18,$G$18,$H$18,$J$18,$K$18,$L$18,$C$2,$N$18,$Q88)</f>
        <v>#VALUE!</v>
      </c>
      <c r="AQ88" s="7" t="e">
        <f>StepperPower($F$19,$G$19,$H$19,$J$19,$K$19,$L$19,$C$2,$N$19,$Q88)</f>
        <v>#VALUE!</v>
      </c>
      <c r="AR88" s="7" t="e">
        <f>StepperPower($F$20,$G$20,$H$20,$J$20,$K$20,$L$20,$C$2,$N$20,$Q88)</f>
        <v>#VALUE!</v>
      </c>
      <c r="AS88" s="7" t="e">
        <f>StepperPower($F$21,$G$21,$H$21,$J$21,$K$21,$L$21,$C$2,$N$21,$Q88)</f>
        <v>#VALUE!</v>
      </c>
      <c r="AT88" s="7" t="e">
        <f>StepperPower($F$22,$G$22,$H$22,$J$22,$K$22,$L$22,$C$2,$N$22,$Q88)</f>
        <v>#VALUE!</v>
      </c>
      <c r="AU88" s="7" t="e">
        <f>StepperPower($F$23,$G$23,$H$23,$J$23,$K$23,$L$23,$C$2,$N$23,$Q88)</f>
        <v>#VALUE!</v>
      </c>
      <c r="AV88" s="7" t="e">
        <f>StepperPower($F$24,$G$24,$H$24,$J$24,$K$24,$L$24,$C$2,$N$24,$Q88)</f>
        <v>#VALUE!</v>
      </c>
      <c r="AW88" s="7" t="e">
        <f>StepperPower($F$25,$G$25,$H$25,$J$25,$K$25,$L$25,$C$2,$N$25,$Q88)</f>
        <v>#VALUE!</v>
      </c>
      <c r="AX88" s="7" t="e">
        <f>StepperPower($F$26,$G$26,$H$26,$J$26,$K$26,$L$26,$C$2,$N$26,$Q88)</f>
        <v>#VALUE!</v>
      </c>
      <c r="AY88" s="7" t="e">
        <f>StepperPower($F$27,$G$27,$H$27,$J$27,$K$27,$L$27,$C$2,$N$27,$Q88)</f>
        <v>#VALUE!</v>
      </c>
      <c r="AZ88" s="7" t="e">
        <f>StepperPower($F$28,$G$28,$H$28,$J$28,$K$28,$L$28,$C$2,$N$28,$Q88)</f>
        <v>#VALUE!</v>
      </c>
      <c r="BA88" s="7" t="e">
        <f>StepperPower($F$29,$G$29,$H$29,$J$29,$K$29,$L$29,$C$2,$N$29,$Q88)</f>
        <v>#VALUE!</v>
      </c>
      <c r="BB88" s="7" t="e">
        <f>StepperPower($F$30,$G$30,$H$30,$J$30,$K$30,$L$30,$C$2,$N$30,$Q88)</f>
        <v>#VALUE!</v>
      </c>
      <c r="BC88" s="7"/>
    </row>
    <row r="89" spans="3:55" x14ac:dyDescent="0.25">
      <c r="Q89">
        <f t="shared" si="11"/>
        <v>43</v>
      </c>
      <c r="R89">
        <f t="shared" si="8"/>
        <v>1720</v>
      </c>
      <c r="T89" s="7" cm="1">
        <f t="array" aca="1" ref="T89" ca="1">(_xlfn.SINGLE(SingleCoilTorque($F$15,$G$15,IF($I$15="",$H$15,INDEX(INDIRECT(_xlfn.CONCAT($I$15,"[Torque]")),MATCH(MIN(ABS(INDIRECT(_xlfn.CONCAT($I$15,"[RPM]"))-$R89*60/2/$C$6)),ABS(INDIRECT(_xlfn.CONCAT($I$15,"[RPM]"))-$R89*60/2/$C$6),0))*100),$J$15,$K$15,$L$15,$C$2,$N$15,$Q89))-$O$15)*$C$8</f>
        <v>1.6419824901550273</v>
      </c>
      <c r="U89" s="7" cm="1">
        <f t="array" aca="1" ref="U89" ca="1">(_xlfn.SINGLE(SingleCoilTorque($F$16,$G$16,IF($I$16="",$H$16,INDEX(INDIRECT(_xlfn.CONCAT($I$16,"[Torque]")),MATCH(MIN(ABS(INDIRECT(_xlfn.CONCAT($I$16,"[RPM]"))-$R89*60/2/$C$6)),ABS(INDIRECT(_xlfn.CONCAT($I$16,"[RPM]"))-$R89*60/2/$C$6),0))*100),$J$16,$K$16,$L$16,$C$2,$N$16,$Q89))-$O$16)*$C$8</f>
        <v>5.2620169210921519</v>
      </c>
      <c r="V89" s="7" cm="1">
        <f t="array" aca="1" ref="V89" ca="1">(_xlfn.SINGLE(SingleCoilTorque($F$17,$G$17,IF($I$17="",$H$17,INDEX(INDIRECT(_xlfn.CONCAT($I$17,"[Torque]")),MATCH(MIN(ABS(INDIRECT(_xlfn.CONCAT($I$17,"[RPM]"))-$R89*60/2/$C$6)),ABS(INDIRECT(_xlfn.CONCAT($I$17,"[RPM]"))-$R89*60/2/$C$6),0))*100),$J$17,$K$17,$L$17,$C$2,$N$17,$Q89))-$O$17)*$C$8</f>
        <v>-4.3468234806836774</v>
      </c>
      <c r="W89" s="7" t="e" cm="1">
        <f t="array" aca="1" ref="W89" ca="1">(_xlfn.SINGLE(SingleCoilTorque($F$18,$G$18,IF($I$18="",$H$18,INDEX(INDIRECT(_xlfn.CONCAT($I$18,"[Torque]")),MATCH(MIN(ABS(INDIRECT(_xlfn.CONCAT($I$18,"[RPM]"))-$R89*60/2/$C$6)),ABS(INDIRECT(_xlfn.CONCAT($I$18,"[RPM]"))-$R89*60/2/$C$6),0))*100),$J$18,$K$18,$L$18,$C$2,$N$18,$Q89))-$O$18)*$C$8</f>
        <v>#VALUE!</v>
      </c>
      <c r="X89" s="7" t="e" cm="1">
        <f t="array" aca="1" ref="X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Y89" s="7" t="e" cm="1">
        <f t="array" aca="1" ref="Y89" ca="1">(_xlfn.SINGLE(SingleCoilTorque($F$20,$G$20,IF($I$20="",$H$20,INDEX(INDIRECT(_xlfn.CONCAT($I$20,"[Torque]")),MATCH(MIN(ABS(INDIRECT(_xlfn.CONCAT($I$20,"[RPM]"))-$R89*60/2/$C$6)),ABS(INDIRECT(_xlfn.CONCAT($I$20,"[RPM]"))-$R89*60/2/$C$6),0))*100),$J$20,$K$20,$L$20,$C$2,$N$20,$Q89))-$O$20)*$C$8</f>
        <v>#VALUE!</v>
      </c>
      <c r="Z89" s="7" t="e" cm="1">
        <f t="array" aca="1" ref="Z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A89" s="7" t="e" cm="1">
        <f t="array" aca="1" ref="AA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B89" s="7" t="e" cm="1">
        <f t="array" aca="1" ref="AB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C89" s="7" t="e" cm="1">
        <f t="array" aca="1" ref="AC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D89" s="7" t="e" cm="1">
        <f t="array" aca="1" ref="AD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E89" s="7" t="e" cm="1">
        <f t="array" aca="1" ref="AE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F89" s="7" t="e" cm="1">
        <f t="array" aca="1" ref="AF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G89" s="7" t="e" cm="1">
        <f t="array" aca="1" ref="AG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H89" s="7" t="e" cm="1">
        <f t="array" aca="1" ref="AH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I89" s="7" t="e" cm="1">
        <f t="array" aca="1" ref="AI89" ca="1">(_xlfn.SINGLE(SingleCoilTorque($F$19,$G$19,IF($I$19="",$H$19,INDEX(INDIRECT(_xlfn.CONCAT($I$19,"[Torque]")),MATCH(MIN(ABS(INDIRECT(_xlfn.CONCAT($I$19,"[RPM]"))-$R89*60/2/$C$6)),ABS(INDIRECT(_xlfn.CONCAT($I$19,"[RPM]"))-$R89*60/2/$C$6),0))*100),$J$19,$K$19,$L$19,$C$2,$N$19,$Q89))-$O$19)*$C$8</f>
        <v>#VALUE!</v>
      </c>
      <c r="AJ89" s="7">
        <f t="shared" si="9"/>
        <v>23.8732414637843</v>
      </c>
      <c r="AL89">
        <f t="shared" si="10"/>
        <v>1720</v>
      </c>
      <c r="AM89" s="7">
        <f>StepperPower($F$15,$G$15,$H$15,$J$15,$K$15,$L$15,$C$2,$N$15,$Q89)</f>
        <v>0</v>
      </c>
      <c r="AN89" s="7">
        <f>StepperPower($F$16,$G$16,$H$16,$J$16,$K$16,$L$16,$C$2,$N$16,$Q89)</f>
        <v>4.3748627871367454</v>
      </c>
      <c r="AO89" s="7">
        <f>StepperPower($F$17,$G$17,$H$17,$J$17,$K$17,$L$17,$C$2,$N$17,$Q89)</f>
        <v>0</v>
      </c>
      <c r="AP89" s="7" t="e">
        <f>StepperPower($F$18,$G$18,$H$18,$J$18,$K$18,$L$18,$C$2,$N$18,$Q89)</f>
        <v>#VALUE!</v>
      </c>
      <c r="AQ89" s="7" t="e">
        <f>StepperPower($F$19,$G$19,$H$19,$J$19,$K$19,$L$19,$C$2,$N$19,$Q89)</f>
        <v>#VALUE!</v>
      </c>
      <c r="AR89" s="7" t="e">
        <f>StepperPower($F$20,$G$20,$H$20,$J$20,$K$20,$L$20,$C$2,$N$20,$Q89)</f>
        <v>#VALUE!</v>
      </c>
      <c r="AS89" s="7" t="e">
        <f>StepperPower($F$21,$G$21,$H$21,$J$21,$K$21,$L$21,$C$2,$N$21,$Q89)</f>
        <v>#VALUE!</v>
      </c>
      <c r="AT89" s="7" t="e">
        <f>StepperPower($F$22,$G$22,$H$22,$J$22,$K$22,$L$22,$C$2,$N$22,$Q89)</f>
        <v>#VALUE!</v>
      </c>
      <c r="AU89" s="7" t="e">
        <f>StepperPower($F$23,$G$23,$H$23,$J$23,$K$23,$L$23,$C$2,$N$23,$Q89)</f>
        <v>#VALUE!</v>
      </c>
      <c r="AV89" s="7" t="e">
        <f>StepperPower($F$24,$G$24,$H$24,$J$24,$K$24,$L$24,$C$2,$N$24,$Q89)</f>
        <v>#VALUE!</v>
      </c>
      <c r="AW89" s="7" t="e">
        <f>StepperPower($F$25,$G$25,$H$25,$J$25,$K$25,$L$25,$C$2,$N$25,$Q89)</f>
        <v>#VALUE!</v>
      </c>
      <c r="AX89" s="7" t="e">
        <f>StepperPower($F$26,$G$26,$H$26,$J$26,$K$26,$L$26,$C$2,$N$26,$Q89)</f>
        <v>#VALUE!</v>
      </c>
      <c r="AY89" s="7" t="e">
        <f>StepperPower($F$27,$G$27,$H$27,$J$27,$K$27,$L$27,$C$2,$N$27,$Q89)</f>
        <v>#VALUE!</v>
      </c>
      <c r="AZ89" s="7" t="e">
        <f>StepperPower($F$28,$G$28,$H$28,$J$28,$K$28,$L$28,$C$2,$N$28,$Q89)</f>
        <v>#VALUE!</v>
      </c>
      <c r="BA89" s="7" t="e">
        <f>StepperPower($F$29,$G$29,$H$29,$J$29,$K$29,$L$29,$C$2,$N$29,$Q89)</f>
        <v>#VALUE!</v>
      </c>
      <c r="BB89" s="7" t="e">
        <f>StepperPower($F$30,$G$30,$H$30,$J$30,$K$30,$L$30,$C$2,$N$30,$Q89)</f>
        <v>#VALUE!</v>
      </c>
      <c r="BC89" s="7"/>
    </row>
    <row r="90" spans="3:55" x14ac:dyDescent="0.25">
      <c r="Q90">
        <f t="shared" si="11"/>
        <v>43.5</v>
      </c>
      <c r="R90">
        <f t="shared" si="8"/>
        <v>1740</v>
      </c>
      <c r="T90" s="7" cm="1">
        <f t="array" aca="1" ref="T90" ca="1">(_xlfn.SINGLE(SingleCoilTorque($F$15,$G$15,IF($I$15="",$H$15,INDEX(INDIRECT(_xlfn.CONCAT($I$15,"[Torque]")),MATCH(MIN(ABS(INDIRECT(_xlfn.CONCAT($I$15,"[RPM]"))-$R90*60/2/$C$6)),ABS(INDIRECT(_xlfn.CONCAT($I$15,"[RPM]"))-$R90*60/2/$C$6),0))*100),$J$15,$K$15,$L$15,$C$2,$N$15,$Q90))-$O$15)*$C$8</f>
        <v>1.3858844300347699</v>
      </c>
      <c r="U90" s="7" cm="1">
        <f t="array" aca="1" ref="U90" ca="1">(_xlfn.SINGLE(SingleCoilTorque($F$16,$G$16,IF($I$16="",$H$16,INDEX(INDIRECT(_xlfn.CONCAT($I$16,"[Torque]")),MATCH(MIN(ABS(INDIRECT(_xlfn.CONCAT($I$16,"[RPM]"))-$R90*60/2/$C$6)),ABS(INDIRECT(_xlfn.CONCAT($I$16,"[RPM]"))-$R90*60/2/$C$6),0))*100),$J$16,$K$16,$L$16,$C$2,$N$16,$Q90))-$O$16)*$C$8</f>
        <v>5.0022652735954409</v>
      </c>
      <c r="V90" s="7" cm="1">
        <f t="array" aca="1" ref="V90" ca="1">(_xlfn.SINGLE(SingleCoilTorque($F$17,$G$17,IF($I$17="",$H$17,INDEX(INDIRECT(_xlfn.CONCAT($I$17,"[Torque]")),MATCH(MIN(ABS(INDIRECT(_xlfn.CONCAT($I$17,"[RPM]"))-$R90*60/2/$C$6)),ABS(INDIRECT(_xlfn.CONCAT($I$17,"[RPM]"))-$R90*60/2/$C$6),0))*100),$J$17,$K$17,$L$17,$C$2,$N$17,$Q90))-$O$17)*$C$8</f>
        <v>-4.5154805551928963</v>
      </c>
      <c r="W90" s="7" t="e" cm="1">
        <f t="array" aca="1" ref="W90" ca="1">(_xlfn.SINGLE(SingleCoilTorque($F$18,$G$18,IF($I$18="",$H$18,INDEX(INDIRECT(_xlfn.CONCAT($I$18,"[Torque]")),MATCH(MIN(ABS(INDIRECT(_xlfn.CONCAT($I$18,"[RPM]"))-$R90*60/2/$C$6)),ABS(INDIRECT(_xlfn.CONCAT($I$18,"[RPM]"))-$R90*60/2/$C$6),0))*100),$J$18,$K$18,$L$18,$C$2,$N$18,$Q90))-$O$18)*$C$8</f>
        <v>#VALUE!</v>
      </c>
      <c r="X90" s="7" t="e" cm="1">
        <f t="array" aca="1" ref="X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Y90" s="7" t="e" cm="1">
        <f t="array" aca="1" ref="Y90" ca="1">(_xlfn.SINGLE(SingleCoilTorque($F$20,$G$20,IF($I$20="",$H$20,INDEX(INDIRECT(_xlfn.CONCAT($I$20,"[Torque]")),MATCH(MIN(ABS(INDIRECT(_xlfn.CONCAT($I$20,"[RPM]"))-$R90*60/2/$C$6)),ABS(INDIRECT(_xlfn.CONCAT($I$20,"[RPM]"))-$R90*60/2/$C$6),0))*100),$J$20,$K$20,$L$20,$C$2,$N$20,$Q90))-$O$20)*$C$8</f>
        <v>#VALUE!</v>
      </c>
      <c r="Z90" s="7" t="e" cm="1">
        <f t="array" aca="1" ref="Z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A90" s="7" t="e" cm="1">
        <f t="array" aca="1" ref="AA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B90" s="7" t="e" cm="1">
        <f t="array" aca="1" ref="AB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C90" s="7" t="e" cm="1">
        <f t="array" aca="1" ref="AC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D90" s="7" t="e" cm="1">
        <f t="array" aca="1" ref="AD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E90" s="7" t="e" cm="1">
        <f t="array" aca="1" ref="AE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F90" s="7" t="e" cm="1">
        <f t="array" aca="1" ref="AF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G90" s="7" t="e" cm="1">
        <f t="array" aca="1" ref="AG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H90" s="7" t="e" cm="1">
        <f t="array" aca="1" ref="AH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I90" s="7" t="e" cm="1">
        <f t="array" aca="1" ref="AI90" ca="1">(_xlfn.SINGLE(SingleCoilTorque($F$19,$G$19,IF($I$19="",$H$19,INDEX(INDIRECT(_xlfn.CONCAT($I$19,"[Torque]")),MATCH(MIN(ABS(INDIRECT(_xlfn.CONCAT($I$19,"[RPM]"))-$R90*60/2/$C$6)),ABS(INDIRECT(_xlfn.CONCAT($I$19,"[RPM]"))-$R90*60/2/$C$6),0))*100),$J$19,$K$19,$L$19,$C$2,$N$19,$Q90))-$O$19)*$C$8</f>
        <v>#VALUE!</v>
      </c>
      <c r="AJ90" s="7">
        <f t="shared" si="9"/>
        <v>23.8732414637843</v>
      </c>
      <c r="AL90">
        <f t="shared" si="10"/>
        <v>1740</v>
      </c>
      <c r="AM90" s="7">
        <f>StepperPower($F$15,$G$15,$H$15,$J$15,$K$15,$L$15,$C$2,$N$15,$Q90)</f>
        <v>0</v>
      </c>
      <c r="AN90" s="7">
        <f>StepperPower($F$16,$G$16,$H$16,$J$16,$K$16,$L$16,$C$2,$N$16,$Q90)</f>
        <v>3.2866574442924774</v>
      </c>
      <c r="AO90" s="7">
        <f>StepperPower($F$17,$G$17,$H$17,$J$17,$K$17,$L$17,$C$2,$N$17,$Q90)</f>
        <v>0</v>
      </c>
      <c r="AP90" s="7" t="e">
        <f>StepperPower($F$18,$G$18,$H$18,$J$18,$K$18,$L$18,$C$2,$N$18,$Q90)</f>
        <v>#VALUE!</v>
      </c>
      <c r="AQ90" s="7" t="e">
        <f>StepperPower($F$19,$G$19,$H$19,$J$19,$K$19,$L$19,$C$2,$N$19,$Q90)</f>
        <v>#VALUE!</v>
      </c>
      <c r="AR90" s="7" t="e">
        <f>StepperPower($F$20,$G$20,$H$20,$J$20,$K$20,$L$20,$C$2,$N$20,$Q90)</f>
        <v>#VALUE!</v>
      </c>
      <c r="AS90" s="7" t="e">
        <f>StepperPower($F$21,$G$21,$H$21,$J$21,$K$21,$L$21,$C$2,$N$21,$Q90)</f>
        <v>#VALUE!</v>
      </c>
      <c r="AT90" s="7" t="e">
        <f>StepperPower($F$22,$G$22,$H$22,$J$22,$K$22,$L$22,$C$2,$N$22,$Q90)</f>
        <v>#VALUE!</v>
      </c>
      <c r="AU90" s="7" t="e">
        <f>StepperPower($F$23,$G$23,$H$23,$J$23,$K$23,$L$23,$C$2,$N$23,$Q90)</f>
        <v>#VALUE!</v>
      </c>
      <c r="AV90" s="7" t="e">
        <f>StepperPower($F$24,$G$24,$H$24,$J$24,$K$24,$L$24,$C$2,$N$24,$Q90)</f>
        <v>#VALUE!</v>
      </c>
      <c r="AW90" s="7" t="e">
        <f>StepperPower($F$25,$G$25,$H$25,$J$25,$K$25,$L$25,$C$2,$N$25,$Q90)</f>
        <v>#VALUE!</v>
      </c>
      <c r="AX90" s="7" t="e">
        <f>StepperPower($F$26,$G$26,$H$26,$J$26,$K$26,$L$26,$C$2,$N$26,$Q90)</f>
        <v>#VALUE!</v>
      </c>
      <c r="AY90" s="7" t="e">
        <f>StepperPower($F$27,$G$27,$H$27,$J$27,$K$27,$L$27,$C$2,$N$27,$Q90)</f>
        <v>#VALUE!</v>
      </c>
      <c r="AZ90" s="7" t="e">
        <f>StepperPower($F$28,$G$28,$H$28,$J$28,$K$28,$L$28,$C$2,$N$28,$Q90)</f>
        <v>#VALUE!</v>
      </c>
      <c r="BA90" s="7" t="e">
        <f>StepperPower($F$29,$G$29,$H$29,$J$29,$K$29,$L$29,$C$2,$N$29,$Q90)</f>
        <v>#VALUE!</v>
      </c>
      <c r="BB90" s="7" t="e">
        <f>StepperPower($F$30,$G$30,$H$30,$J$30,$K$30,$L$30,$C$2,$N$30,$Q90)</f>
        <v>#VALUE!</v>
      </c>
      <c r="BC90" s="7"/>
    </row>
    <row r="91" spans="3:55" x14ac:dyDescent="0.25">
      <c r="Q91">
        <f t="shared" si="11"/>
        <v>44</v>
      </c>
      <c r="R91">
        <f t="shared" si="8"/>
        <v>1760</v>
      </c>
      <c r="T91" s="7" cm="1">
        <f t="array" aca="1" ref="T91" ca="1">(_xlfn.SINGLE(SingleCoilTorque($F$15,$G$15,IF($I$15="",$H$15,INDEX(INDIRECT(_xlfn.CONCAT($I$15,"[Torque]")),MATCH(MIN(ABS(INDIRECT(_xlfn.CONCAT($I$15,"[RPM]"))-$R91*60/2/$C$6)),ABS(INDIRECT(_xlfn.CONCAT($I$15,"[RPM]"))-$R91*60/2/$C$6),0))*100),$J$15,$K$15,$L$15,$C$2,$N$15,$Q91))-$O$15)*$C$8</f>
        <v>1.1353549906949041</v>
      </c>
      <c r="U91" s="7" cm="1">
        <f t="array" aca="1" ref="U91" ca="1">(_xlfn.SINGLE(SingleCoilTorque($F$16,$G$16,IF($I$16="",$H$16,INDEX(INDIRECT(_xlfn.CONCAT($I$16,"[Torque]")),MATCH(MIN(ABS(INDIRECT(_xlfn.CONCAT($I$16,"[RPM]"))-$R91*60/2/$C$6)),ABS(INDIRECT(_xlfn.CONCAT($I$16,"[RPM]"))-$R91*60/2/$C$6),0))*100),$J$16,$K$16,$L$16,$C$2,$N$16,$Q91))-$O$16)*$C$8</f>
        <v>4.7481862303949214</v>
      </c>
      <c r="V91" s="7" cm="1">
        <f t="array" aca="1" ref="V91" ca="1">(_xlfn.SINGLE(SingleCoilTorque($F$17,$G$17,IF($I$17="",$H$17,INDEX(INDIRECT(_xlfn.CONCAT($I$17,"[Torque]")),MATCH(MIN(ABS(INDIRECT(_xlfn.CONCAT($I$17,"[RPM]"))-$R91*60/2/$C$6)),ABS(INDIRECT(_xlfn.CONCAT($I$17,"[RPM]"))-$R91*60/2/$C$6),0))*100),$J$17,$K$17,$L$17,$C$2,$N$17,$Q91))-$O$17)*$C$8</f>
        <v>-4.680416678251631</v>
      </c>
      <c r="W91" s="7" t="e" cm="1">
        <f t="array" aca="1" ref="W91" ca="1">(_xlfn.SINGLE(SingleCoilTorque($F$18,$G$18,IF($I$18="",$H$18,INDEX(INDIRECT(_xlfn.CONCAT($I$18,"[Torque]")),MATCH(MIN(ABS(INDIRECT(_xlfn.CONCAT($I$18,"[RPM]"))-$R91*60/2/$C$6)),ABS(INDIRECT(_xlfn.CONCAT($I$18,"[RPM]"))-$R91*60/2/$C$6),0))*100),$J$18,$K$18,$L$18,$C$2,$N$18,$Q91))-$O$18)*$C$8</f>
        <v>#VALUE!</v>
      </c>
      <c r="X91" s="7" t="e" cm="1">
        <f t="array" aca="1" ref="X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Y91" s="7" t="e" cm="1">
        <f t="array" aca="1" ref="Y91" ca="1">(_xlfn.SINGLE(SingleCoilTorque($F$20,$G$20,IF($I$20="",$H$20,INDEX(INDIRECT(_xlfn.CONCAT($I$20,"[Torque]")),MATCH(MIN(ABS(INDIRECT(_xlfn.CONCAT($I$20,"[RPM]"))-$R91*60/2/$C$6)),ABS(INDIRECT(_xlfn.CONCAT($I$20,"[RPM]"))-$R91*60/2/$C$6),0))*100),$J$20,$K$20,$L$20,$C$2,$N$20,$Q91))-$O$20)*$C$8</f>
        <v>#VALUE!</v>
      </c>
      <c r="Z91" s="7" t="e" cm="1">
        <f t="array" aca="1" ref="Z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A91" s="7" t="e" cm="1">
        <f t="array" aca="1" ref="AA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B91" s="7" t="e" cm="1">
        <f t="array" aca="1" ref="AB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C91" s="7" t="e" cm="1">
        <f t="array" aca="1" ref="AC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D91" s="7" t="e" cm="1">
        <f t="array" aca="1" ref="AD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E91" s="7" t="e" cm="1">
        <f t="array" aca="1" ref="AE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F91" s="7" t="e" cm="1">
        <f t="array" aca="1" ref="AF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G91" s="7" t="e" cm="1">
        <f t="array" aca="1" ref="AG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H91" s="7" t="e" cm="1">
        <f t="array" aca="1" ref="AH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I91" s="7" t="e" cm="1">
        <f t="array" aca="1" ref="AI91" ca="1">(_xlfn.SINGLE(SingleCoilTorque($F$19,$G$19,IF($I$19="",$H$19,INDEX(INDIRECT(_xlfn.CONCAT($I$19,"[Torque]")),MATCH(MIN(ABS(INDIRECT(_xlfn.CONCAT($I$19,"[RPM]"))-$R91*60/2/$C$6)),ABS(INDIRECT(_xlfn.CONCAT($I$19,"[RPM]"))-$R91*60/2/$C$6),0))*100),$J$19,$K$19,$L$19,$C$2,$N$19,$Q91))-$O$19)*$C$8</f>
        <v>#VALUE!</v>
      </c>
      <c r="AJ91" s="7">
        <f t="shared" si="9"/>
        <v>23.8732414637843</v>
      </c>
      <c r="AL91">
        <f t="shared" si="10"/>
        <v>1760</v>
      </c>
      <c r="AM91" s="7">
        <f>StepperPower($F$15,$G$15,$H$15,$J$15,$K$15,$L$15,$C$2,$N$15,$Q91)</f>
        <v>0</v>
      </c>
      <c r="AN91" s="7">
        <f>StepperPower($F$16,$G$16,$H$16,$J$16,$K$16,$L$16,$C$2,$N$16,$Q91)</f>
        <v>2.1985544596779358</v>
      </c>
      <c r="AO91" s="7">
        <f>StepperPower($F$17,$G$17,$H$17,$J$17,$K$17,$L$17,$C$2,$N$17,$Q91)</f>
        <v>0</v>
      </c>
      <c r="AP91" s="7" t="e">
        <f>StepperPower($F$18,$G$18,$H$18,$J$18,$K$18,$L$18,$C$2,$N$18,$Q91)</f>
        <v>#VALUE!</v>
      </c>
      <c r="AQ91" s="7" t="e">
        <f>StepperPower($F$19,$G$19,$H$19,$J$19,$K$19,$L$19,$C$2,$N$19,$Q91)</f>
        <v>#VALUE!</v>
      </c>
      <c r="AR91" s="7" t="e">
        <f>StepperPower($F$20,$G$20,$H$20,$J$20,$K$20,$L$20,$C$2,$N$20,$Q91)</f>
        <v>#VALUE!</v>
      </c>
      <c r="AS91" s="7" t="e">
        <f>StepperPower($F$21,$G$21,$H$21,$J$21,$K$21,$L$21,$C$2,$N$21,$Q91)</f>
        <v>#VALUE!</v>
      </c>
      <c r="AT91" s="7" t="e">
        <f>StepperPower($F$22,$G$22,$H$22,$J$22,$K$22,$L$22,$C$2,$N$22,$Q91)</f>
        <v>#VALUE!</v>
      </c>
      <c r="AU91" s="7" t="e">
        <f>StepperPower($F$23,$G$23,$H$23,$J$23,$K$23,$L$23,$C$2,$N$23,$Q91)</f>
        <v>#VALUE!</v>
      </c>
      <c r="AV91" s="7" t="e">
        <f>StepperPower($F$24,$G$24,$H$24,$J$24,$K$24,$L$24,$C$2,$N$24,$Q91)</f>
        <v>#VALUE!</v>
      </c>
      <c r="AW91" s="7" t="e">
        <f>StepperPower($F$25,$G$25,$H$25,$J$25,$K$25,$L$25,$C$2,$N$25,$Q91)</f>
        <v>#VALUE!</v>
      </c>
      <c r="AX91" s="7" t="e">
        <f>StepperPower($F$26,$G$26,$H$26,$J$26,$K$26,$L$26,$C$2,$N$26,$Q91)</f>
        <v>#VALUE!</v>
      </c>
      <c r="AY91" s="7" t="e">
        <f>StepperPower($F$27,$G$27,$H$27,$J$27,$K$27,$L$27,$C$2,$N$27,$Q91)</f>
        <v>#VALUE!</v>
      </c>
      <c r="AZ91" s="7" t="e">
        <f>StepperPower($F$28,$G$28,$H$28,$J$28,$K$28,$L$28,$C$2,$N$28,$Q91)</f>
        <v>#VALUE!</v>
      </c>
      <c r="BA91" s="7" t="e">
        <f>StepperPower($F$29,$G$29,$H$29,$J$29,$K$29,$L$29,$C$2,$N$29,$Q91)</f>
        <v>#VALUE!</v>
      </c>
      <c r="BB91" s="7" t="e">
        <f>StepperPower($F$30,$G$30,$H$30,$J$30,$K$30,$L$30,$C$2,$N$30,$Q91)</f>
        <v>#VALUE!</v>
      </c>
      <c r="BC91" s="7"/>
    </row>
    <row r="92" spans="3:55" x14ac:dyDescent="0.25">
      <c r="Q92">
        <f t="shared" si="11"/>
        <v>44.5</v>
      </c>
      <c r="R92">
        <f t="shared" si="8"/>
        <v>1780</v>
      </c>
      <c r="T92" s="7" cm="1">
        <f t="array" aca="1" ref="T92" ca="1">(_xlfn.SINGLE(SingleCoilTorque($F$15,$G$15,IF($I$15="",$H$15,INDEX(INDIRECT(_xlfn.CONCAT($I$15,"[Torque]")),MATCH(MIN(ABS(INDIRECT(_xlfn.CONCAT($I$15,"[RPM]"))-$R92*60/2/$C$6)),ABS(INDIRECT(_xlfn.CONCAT($I$15,"[RPM]"))-$R92*60/2/$C$6),0))*100),$J$15,$K$15,$L$15,$C$2,$N$15,$Q92))-$O$15)*$C$8</f>
        <v>0.89021449861806445</v>
      </c>
      <c r="U92" s="7" cm="1">
        <f t="array" aca="1" ref="U92" ca="1">(_xlfn.SINGLE(SingleCoilTorque($F$16,$G$16,IF($I$16="",$H$16,INDEX(INDIRECT(_xlfn.CONCAT($I$16,"[Torque]")),MATCH(MIN(ABS(INDIRECT(_xlfn.CONCAT($I$16,"[RPM]"))-$R92*60/2/$C$6)),ABS(INDIRECT(_xlfn.CONCAT($I$16,"[RPM]"))-$R92*60/2/$C$6),0))*100),$J$16,$K$16,$L$16,$C$2,$N$16,$Q92))-$O$16)*$C$8</f>
        <v>4.4995959762800402</v>
      </c>
      <c r="V92" s="7" cm="1">
        <f t="array" aca="1" ref="V92" ca="1">(_xlfn.SINGLE(SingleCoilTorque($F$17,$G$17,IF($I$17="",$H$17,INDEX(INDIRECT(_xlfn.CONCAT($I$17,"[Torque]")),MATCH(MIN(ABS(INDIRECT(_xlfn.CONCAT($I$17,"[RPM]"))-$R92*60/2/$C$6)),ABS(INDIRECT(_xlfn.CONCAT($I$17,"[RPM]"))-$R92*60/2/$C$6),0))*100),$J$17,$K$17,$L$17,$C$2,$N$17,$Q92))-$O$17)*$C$8</f>
        <v>-4.841753645062302</v>
      </c>
      <c r="W92" s="7" t="e" cm="1">
        <f t="array" aca="1" ref="W92" ca="1">(_xlfn.SINGLE(SingleCoilTorque($F$18,$G$18,IF($I$18="",$H$18,INDEX(INDIRECT(_xlfn.CONCAT($I$18,"[Torque]")),MATCH(MIN(ABS(INDIRECT(_xlfn.CONCAT($I$18,"[RPM]"))-$R92*60/2/$C$6)),ABS(INDIRECT(_xlfn.CONCAT($I$18,"[RPM]"))-$R92*60/2/$C$6),0))*100),$J$18,$K$18,$L$18,$C$2,$N$18,$Q92))-$O$18)*$C$8</f>
        <v>#VALUE!</v>
      </c>
      <c r="X92" s="7" t="e" cm="1">
        <f t="array" aca="1" ref="X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Y92" s="7" t="e" cm="1">
        <f t="array" aca="1" ref="Y92" ca="1">(_xlfn.SINGLE(SingleCoilTorque($F$20,$G$20,IF($I$20="",$H$20,INDEX(INDIRECT(_xlfn.CONCAT($I$20,"[Torque]")),MATCH(MIN(ABS(INDIRECT(_xlfn.CONCAT($I$20,"[RPM]"))-$R92*60/2/$C$6)),ABS(INDIRECT(_xlfn.CONCAT($I$20,"[RPM]"))-$R92*60/2/$C$6),0))*100),$J$20,$K$20,$L$20,$C$2,$N$20,$Q92))-$O$20)*$C$8</f>
        <v>#VALUE!</v>
      </c>
      <c r="Z92" s="7" t="e" cm="1">
        <f t="array" aca="1" ref="Z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A92" s="7" t="e" cm="1">
        <f t="array" aca="1" ref="AA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B92" s="7" t="e" cm="1">
        <f t="array" aca="1" ref="AB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C92" s="7" t="e" cm="1">
        <f t="array" aca="1" ref="AC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D92" s="7" t="e" cm="1">
        <f t="array" aca="1" ref="AD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E92" s="7" t="e" cm="1">
        <f t="array" aca="1" ref="AE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F92" s="7" t="e" cm="1">
        <f t="array" aca="1" ref="AF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G92" s="7" t="e" cm="1">
        <f t="array" aca="1" ref="AG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H92" s="7" t="e" cm="1">
        <f t="array" aca="1" ref="AH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I92" s="7" t="e" cm="1">
        <f t="array" aca="1" ref="AI92" ca="1">(_xlfn.SINGLE(SingleCoilTorque($F$19,$G$19,IF($I$19="",$H$19,INDEX(INDIRECT(_xlfn.CONCAT($I$19,"[Torque]")),MATCH(MIN(ABS(INDIRECT(_xlfn.CONCAT($I$19,"[RPM]"))-$R92*60/2/$C$6)),ABS(INDIRECT(_xlfn.CONCAT($I$19,"[RPM]"))-$R92*60/2/$C$6),0))*100),$J$19,$K$19,$L$19,$C$2,$N$19,$Q92))-$O$19)*$C$8</f>
        <v>#VALUE!</v>
      </c>
      <c r="AJ92" s="7">
        <f t="shared" si="9"/>
        <v>23.8732414637843</v>
      </c>
      <c r="AL92">
        <f t="shared" si="10"/>
        <v>1780</v>
      </c>
      <c r="AM92" s="7">
        <f>StepperPower($F$15,$G$15,$H$15,$J$15,$K$15,$L$15,$C$2,$N$15,$Q92)</f>
        <v>0</v>
      </c>
      <c r="AN92" s="7">
        <f>StepperPower($F$16,$G$16,$H$16,$J$16,$K$16,$L$16,$C$2,$N$16,$Q92)</f>
        <v>1.1105170814709504</v>
      </c>
      <c r="AO92" s="7">
        <f>StepperPower($F$17,$G$17,$H$17,$J$17,$K$17,$L$17,$C$2,$N$17,$Q92)</f>
        <v>0</v>
      </c>
      <c r="AP92" s="7" t="e">
        <f>StepperPower($F$18,$G$18,$H$18,$J$18,$K$18,$L$18,$C$2,$N$18,$Q92)</f>
        <v>#VALUE!</v>
      </c>
      <c r="AQ92" s="7" t="e">
        <f>StepperPower($F$19,$G$19,$H$19,$J$19,$K$19,$L$19,$C$2,$N$19,$Q92)</f>
        <v>#VALUE!</v>
      </c>
      <c r="AR92" s="7" t="e">
        <f>StepperPower($F$20,$G$20,$H$20,$J$20,$K$20,$L$20,$C$2,$N$20,$Q92)</f>
        <v>#VALUE!</v>
      </c>
      <c r="AS92" s="7" t="e">
        <f>StepperPower($F$21,$G$21,$H$21,$J$21,$K$21,$L$21,$C$2,$N$21,$Q92)</f>
        <v>#VALUE!</v>
      </c>
      <c r="AT92" s="7" t="e">
        <f>StepperPower($F$22,$G$22,$H$22,$J$22,$K$22,$L$22,$C$2,$N$22,$Q92)</f>
        <v>#VALUE!</v>
      </c>
      <c r="AU92" s="7" t="e">
        <f>StepperPower($F$23,$G$23,$H$23,$J$23,$K$23,$L$23,$C$2,$N$23,$Q92)</f>
        <v>#VALUE!</v>
      </c>
      <c r="AV92" s="7" t="e">
        <f>StepperPower($F$24,$G$24,$H$24,$J$24,$K$24,$L$24,$C$2,$N$24,$Q92)</f>
        <v>#VALUE!</v>
      </c>
      <c r="AW92" s="7" t="e">
        <f>StepperPower($F$25,$G$25,$H$25,$J$25,$K$25,$L$25,$C$2,$N$25,$Q92)</f>
        <v>#VALUE!</v>
      </c>
      <c r="AX92" s="7" t="e">
        <f>StepperPower($F$26,$G$26,$H$26,$J$26,$K$26,$L$26,$C$2,$N$26,$Q92)</f>
        <v>#VALUE!</v>
      </c>
      <c r="AY92" s="7" t="e">
        <f>StepperPower($F$27,$G$27,$H$27,$J$27,$K$27,$L$27,$C$2,$N$27,$Q92)</f>
        <v>#VALUE!</v>
      </c>
      <c r="AZ92" s="7" t="e">
        <f>StepperPower($F$28,$G$28,$H$28,$J$28,$K$28,$L$28,$C$2,$N$28,$Q92)</f>
        <v>#VALUE!</v>
      </c>
      <c r="BA92" s="7" t="e">
        <f>StepperPower($F$29,$G$29,$H$29,$J$29,$K$29,$L$29,$C$2,$N$29,$Q92)</f>
        <v>#VALUE!</v>
      </c>
      <c r="BB92" s="7" t="e">
        <f>StepperPower($F$30,$G$30,$H$30,$J$30,$K$30,$L$30,$C$2,$N$30,$Q92)</f>
        <v>#VALUE!</v>
      </c>
      <c r="BC92" s="7"/>
    </row>
    <row r="93" spans="3:55" x14ac:dyDescent="0.25">
      <c r="Q93">
        <f t="shared" si="11"/>
        <v>45</v>
      </c>
      <c r="R93">
        <f t="shared" si="8"/>
        <v>1800</v>
      </c>
      <c r="T93" s="7" cm="1">
        <f t="array" aca="1" ref="T93" ca="1">(_xlfn.SINGLE(SingleCoilTorque($F$15,$G$15,IF($I$15="",$H$15,INDEX(INDIRECT(_xlfn.CONCAT($I$15,"[Torque]")),MATCH(MIN(ABS(INDIRECT(_xlfn.CONCAT($I$15,"[RPM]"))-$R93*60/2/$C$6)),ABS(INDIRECT(_xlfn.CONCAT($I$15,"[RPM]"))-$R93*60/2/$C$6),0))*100),$J$15,$K$15,$L$15,$C$2,$N$15,$Q93))-$O$15)*$C$8</f>
        <v>0.6502909276776706</v>
      </c>
      <c r="U93" s="7" cm="1">
        <f t="array" aca="1" ref="U93" ca="1">(_xlfn.SINGLE(SingleCoilTorque($F$16,$G$16,IF($I$16="",$H$16,INDEX(INDIRECT(_xlfn.CONCAT($I$16,"[Torque]")),MATCH(MIN(ABS(INDIRECT(_xlfn.CONCAT($I$16,"[RPM]"))-$R93*60/2/$C$6)),ABS(INDIRECT(_xlfn.CONCAT($I$16,"[RPM]"))-$R93*60/2/$C$6),0))*100),$J$16,$K$16,$L$16,$C$2,$N$16,$Q93))-$O$16)*$C$8</f>
        <v>4.2563185529783025</v>
      </c>
      <c r="V93" s="7" cm="1">
        <f t="array" aca="1" ref="V93" ca="1">(_xlfn.SINGLE(SingleCoilTorque($F$17,$G$17,IF($I$17="",$H$17,INDEX(INDIRECT(_xlfn.CONCAT($I$17,"[Torque]")),MATCH(MIN(ABS(INDIRECT(_xlfn.CONCAT($I$17,"[RPM]"))-$R93*60/2/$C$6)),ABS(INDIRECT(_xlfn.CONCAT($I$17,"[RPM]"))-$R93*60/2/$C$6),0))*100),$J$17,$K$17,$L$17,$C$2,$N$17,$Q93))-$O$17)*$C$8</f>
        <v>-4.9996079926857071</v>
      </c>
      <c r="W93" s="7" t="e" cm="1">
        <f t="array" aca="1" ref="W93" ca="1">(_xlfn.SINGLE(SingleCoilTorque($F$18,$G$18,IF($I$18="",$H$18,INDEX(INDIRECT(_xlfn.CONCAT($I$18,"[Torque]")),MATCH(MIN(ABS(INDIRECT(_xlfn.CONCAT($I$18,"[RPM]"))-$R93*60/2/$C$6)),ABS(INDIRECT(_xlfn.CONCAT($I$18,"[RPM]"))-$R93*60/2/$C$6),0))*100),$J$18,$K$18,$L$18,$C$2,$N$18,$Q93))-$O$18)*$C$8</f>
        <v>#VALUE!</v>
      </c>
      <c r="X93" s="7" t="e" cm="1">
        <f t="array" aca="1" ref="X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Y93" s="7" t="e" cm="1">
        <f t="array" aca="1" ref="Y93" ca="1">(_xlfn.SINGLE(SingleCoilTorque($F$20,$G$20,IF($I$20="",$H$20,INDEX(INDIRECT(_xlfn.CONCAT($I$20,"[Torque]")),MATCH(MIN(ABS(INDIRECT(_xlfn.CONCAT($I$20,"[RPM]"))-$R93*60/2/$C$6)),ABS(INDIRECT(_xlfn.CONCAT($I$20,"[RPM]"))-$R93*60/2/$C$6),0))*100),$J$20,$K$20,$L$20,$C$2,$N$20,$Q93))-$O$20)*$C$8</f>
        <v>#VALUE!</v>
      </c>
      <c r="Z93" s="7" t="e" cm="1">
        <f t="array" aca="1" ref="Z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A93" s="7" t="e" cm="1">
        <f t="array" aca="1" ref="AA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B93" s="7" t="e" cm="1">
        <f t="array" aca="1" ref="AB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C93" s="7" t="e" cm="1">
        <f t="array" aca="1" ref="AC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D93" s="7" t="e" cm="1">
        <f t="array" aca="1" ref="AD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E93" s="7" t="e" cm="1">
        <f t="array" aca="1" ref="AE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F93" s="7" t="e" cm="1">
        <f t="array" aca="1" ref="AF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G93" s="7" t="e" cm="1">
        <f t="array" aca="1" ref="AG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H93" s="7" t="e" cm="1">
        <f t="array" aca="1" ref="AH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I93" s="7" t="e" cm="1">
        <f t="array" aca="1" ref="AI93" ca="1">(_xlfn.SINGLE(SingleCoilTorque($F$19,$G$19,IF($I$19="",$H$19,INDEX(INDIRECT(_xlfn.CONCAT($I$19,"[Torque]")),MATCH(MIN(ABS(INDIRECT(_xlfn.CONCAT($I$19,"[RPM]"))-$R93*60/2/$C$6)),ABS(INDIRECT(_xlfn.CONCAT($I$19,"[RPM]"))-$R93*60/2/$C$6),0))*100),$J$19,$K$19,$L$19,$C$2,$N$19,$Q93))-$O$19)*$C$8</f>
        <v>#VALUE!</v>
      </c>
      <c r="AJ93" s="7">
        <f t="shared" si="9"/>
        <v>23.8732414637843</v>
      </c>
      <c r="AL93">
        <f t="shared" si="10"/>
        <v>1800</v>
      </c>
      <c r="AM93" s="7">
        <f>StepperPower($F$15,$G$15,$H$15,$J$15,$K$15,$L$15,$C$2,$N$15,$Q93)</f>
        <v>0</v>
      </c>
      <c r="AN93" s="7">
        <f>StepperPower($F$16,$G$16,$H$16,$J$16,$K$16,$L$16,$C$2,$N$16,$Q93)</f>
        <v>2.2511542620762881E-2</v>
      </c>
      <c r="AO93" s="7">
        <f>StepperPower($F$17,$G$17,$H$17,$J$17,$K$17,$L$17,$C$2,$N$17,$Q93)</f>
        <v>0</v>
      </c>
      <c r="AP93" s="7" t="e">
        <f>StepperPower($F$18,$G$18,$H$18,$J$18,$K$18,$L$18,$C$2,$N$18,$Q93)</f>
        <v>#VALUE!</v>
      </c>
      <c r="AQ93" s="7" t="e">
        <f>StepperPower($F$19,$G$19,$H$19,$J$19,$K$19,$L$19,$C$2,$N$19,$Q93)</f>
        <v>#VALUE!</v>
      </c>
      <c r="AR93" s="7" t="e">
        <f>StepperPower($F$20,$G$20,$H$20,$J$20,$K$20,$L$20,$C$2,$N$20,$Q93)</f>
        <v>#VALUE!</v>
      </c>
      <c r="AS93" s="7" t="e">
        <f>StepperPower($F$21,$G$21,$H$21,$J$21,$K$21,$L$21,$C$2,$N$21,$Q93)</f>
        <v>#VALUE!</v>
      </c>
      <c r="AT93" s="7" t="e">
        <f>StepperPower($F$22,$G$22,$H$22,$J$22,$K$22,$L$22,$C$2,$N$22,$Q93)</f>
        <v>#VALUE!</v>
      </c>
      <c r="AU93" s="7" t="e">
        <f>StepperPower($F$23,$G$23,$H$23,$J$23,$K$23,$L$23,$C$2,$N$23,$Q93)</f>
        <v>#VALUE!</v>
      </c>
      <c r="AV93" s="7" t="e">
        <f>StepperPower($F$24,$G$24,$H$24,$J$24,$K$24,$L$24,$C$2,$N$24,$Q93)</f>
        <v>#VALUE!</v>
      </c>
      <c r="AW93" s="7" t="e">
        <f>StepperPower($F$25,$G$25,$H$25,$J$25,$K$25,$L$25,$C$2,$N$25,$Q93)</f>
        <v>#VALUE!</v>
      </c>
      <c r="AX93" s="7" t="e">
        <f>StepperPower($F$26,$G$26,$H$26,$J$26,$K$26,$L$26,$C$2,$N$26,$Q93)</f>
        <v>#VALUE!</v>
      </c>
      <c r="AY93" s="7" t="e">
        <f>StepperPower($F$27,$G$27,$H$27,$J$27,$K$27,$L$27,$C$2,$N$27,$Q93)</f>
        <v>#VALUE!</v>
      </c>
      <c r="AZ93" s="7" t="e">
        <f>StepperPower($F$28,$G$28,$H$28,$J$28,$K$28,$L$28,$C$2,$N$28,$Q93)</f>
        <v>#VALUE!</v>
      </c>
      <c r="BA93" s="7" t="e">
        <f>StepperPower($F$29,$G$29,$H$29,$J$29,$K$29,$L$29,$C$2,$N$29,$Q93)</f>
        <v>#VALUE!</v>
      </c>
      <c r="BB93" s="7" t="e">
        <f>StepperPower($F$30,$G$30,$H$30,$J$30,$K$30,$L$30,$C$2,$N$30,$Q93)</f>
        <v>#VALUE!</v>
      </c>
      <c r="BC93" s="7"/>
    </row>
    <row r="94" spans="3:55" x14ac:dyDescent="0.25">
      <c r="Q94">
        <f t="shared" si="11"/>
        <v>45.5</v>
      </c>
      <c r="R94">
        <f t="shared" si="8"/>
        <v>1820</v>
      </c>
      <c r="T94" s="7" cm="1">
        <f t="array" aca="1" ref="T94" ca="1">(_xlfn.SINGLE(SingleCoilTorque($F$15,$G$15,IF($I$15="",$H$15,INDEX(INDIRECT(_xlfn.CONCAT($I$15,"[Torque]")),MATCH(MIN(ABS(INDIRECT(_xlfn.CONCAT($I$15,"[RPM]"))-$R94*60/2/$C$6)),ABS(INDIRECT(_xlfn.CONCAT($I$15,"[RPM]"))-$R94*60/2/$C$6),0))*100),$J$15,$K$15,$L$15,$C$2,$N$15,$Q94))-$O$15)*$C$8</f>
        <v>0.41541949655465094</v>
      </c>
      <c r="U94" s="7" cm="1">
        <f t="array" aca="1" ref="U94" ca="1">(_xlfn.SINGLE(SingleCoilTorque($F$16,$G$16,IF($I$16="",$H$16,INDEX(INDIRECT(_xlfn.CONCAT($I$16,"[Torque]")),MATCH(MIN(ABS(INDIRECT(_xlfn.CONCAT($I$16,"[RPM]"))-$R94*60/2/$C$6)),ABS(INDIRECT(_xlfn.CONCAT($I$16,"[RPM]"))-$R94*60/2/$C$6),0))*100),$J$16,$K$16,$L$16,$C$2,$N$16,$Q94))-$O$16)*$C$8</f>
        <v>4.0181854438007036</v>
      </c>
      <c r="V94" s="7" cm="1">
        <f t="array" aca="1" ref="V94" ca="1">(_xlfn.SINGLE(SingleCoilTorque($F$17,$G$17,IF($I$17="",$H$17,INDEX(INDIRECT(_xlfn.CONCAT($I$17,"[Torque]")),MATCH(MIN(ABS(INDIRECT(_xlfn.CONCAT($I$17,"[RPM]"))-$R94*60/2/$C$6)),ABS(INDIRECT(_xlfn.CONCAT($I$17,"[RPM]"))-$R94*60/2/$C$6),0))*100),$J$17,$K$17,$L$17,$C$2,$N$17,$Q94))-$O$17)*$C$8</f>
        <v>-5.1540912807667416</v>
      </c>
      <c r="W94" s="7" t="e" cm="1">
        <f t="array" aca="1" ref="W94" ca="1">(_xlfn.SINGLE(SingleCoilTorque($F$18,$G$18,IF($I$18="",$H$18,INDEX(INDIRECT(_xlfn.CONCAT($I$18,"[Torque]")),MATCH(MIN(ABS(INDIRECT(_xlfn.CONCAT($I$18,"[RPM]"))-$R94*60/2/$C$6)),ABS(INDIRECT(_xlfn.CONCAT($I$18,"[RPM]"))-$R94*60/2/$C$6),0))*100),$J$18,$K$18,$L$18,$C$2,$N$18,$Q94))-$O$18)*$C$8</f>
        <v>#VALUE!</v>
      </c>
      <c r="X94" s="7" t="e" cm="1">
        <f t="array" aca="1" ref="X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Y94" s="7" t="e" cm="1">
        <f t="array" aca="1" ref="Y94" ca="1">(_xlfn.SINGLE(SingleCoilTorque($F$20,$G$20,IF($I$20="",$H$20,INDEX(INDIRECT(_xlfn.CONCAT($I$20,"[Torque]")),MATCH(MIN(ABS(INDIRECT(_xlfn.CONCAT($I$20,"[RPM]"))-$R94*60/2/$C$6)),ABS(INDIRECT(_xlfn.CONCAT($I$20,"[RPM]"))-$R94*60/2/$C$6),0))*100),$J$20,$K$20,$L$20,$C$2,$N$20,$Q94))-$O$20)*$C$8</f>
        <v>#VALUE!</v>
      </c>
      <c r="Z94" s="7" t="e" cm="1">
        <f t="array" aca="1" ref="Z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A94" s="7" t="e" cm="1">
        <f t="array" aca="1" ref="AA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B94" s="7" t="e" cm="1">
        <f t="array" aca="1" ref="AB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C94" s="7" t="e" cm="1">
        <f t="array" aca="1" ref="AC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D94" s="7" t="e" cm="1">
        <f t="array" aca="1" ref="AD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E94" s="7" t="e" cm="1">
        <f t="array" aca="1" ref="AE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F94" s="7" t="e" cm="1">
        <f t="array" aca="1" ref="AF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G94" s="7" t="e" cm="1">
        <f t="array" aca="1" ref="AG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H94" s="7" t="e" cm="1">
        <f t="array" aca="1" ref="AH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I94" s="7" t="e" cm="1">
        <f t="array" aca="1" ref="AI94" ca="1">(_xlfn.SINGLE(SingleCoilTorque($F$19,$G$19,IF($I$19="",$H$19,INDEX(INDIRECT(_xlfn.CONCAT($I$19,"[Torque]")),MATCH(MIN(ABS(INDIRECT(_xlfn.CONCAT($I$19,"[RPM]"))-$R94*60/2/$C$6)),ABS(INDIRECT(_xlfn.CONCAT($I$19,"[RPM]"))-$R94*60/2/$C$6),0))*100),$J$19,$K$19,$L$19,$C$2,$N$19,$Q94))-$O$19)*$C$8</f>
        <v>#VALUE!</v>
      </c>
      <c r="AJ94" s="7">
        <f t="shared" si="9"/>
        <v>23.8732414637843</v>
      </c>
      <c r="AL94">
        <f t="shared" si="10"/>
        <v>1820</v>
      </c>
      <c r="AM94" s="7">
        <f>StepperPower($F$15,$G$15,$H$15,$J$15,$K$15,$L$15,$C$2,$N$15,$Q94)</f>
        <v>0</v>
      </c>
      <c r="AN94" s="7">
        <f>StepperPower($F$16,$G$16,$H$16,$J$16,$K$16,$L$16,$C$2,$N$16,$Q94)</f>
        <v>0</v>
      </c>
      <c r="AO94" s="7">
        <f>StepperPower($F$17,$G$17,$H$17,$J$17,$K$17,$L$17,$C$2,$N$17,$Q94)</f>
        <v>0</v>
      </c>
      <c r="AP94" s="7" t="e">
        <f>StepperPower($F$18,$G$18,$H$18,$J$18,$K$18,$L$18,$C$2,$N$18,$Q94)</f>
        <v>#VALUE!</v>
      </c>
      <c r="AQ94" s="7" t="e">
        <f>StepperPower($F$19,$G$19,$H$19,$J$19,$K$19,$L$19,$C$2,$N$19,$Q94)</f>
        <v>#VALUE!</v>
      </c>
      <c r="AR94" s="7" t="e">
        <f>StepperPower($F$20,$G$20,$H$20,$J$20,$K$20,$L$20,$C$2,$N$20,$Q94)</f>
        <v>#VALUE!</v>
      </c>
      <c r="AS94" s="7" t="e">
        <f>StepperPower($F$21,$G$21,$H$21,$J$21,$K$21,$L$21,$C$2,$N$21,$Q94)</f>
        <v>#VALUE!</v>
      </c>
      <c r="AT94" s="7" t="e">
        <f>StepperPower($F$22,$G$22,$H$22,$J$22,$K$22,$L$22,$C$2,$N$22,$Q94)</f>
        <v>#VALUE!</v>
      </c>
      <c r="AU94" s="7" t="e">
        <f>StepperPower($F$23,$G$23,$H$23,$J$23,$K$23,$L$23,$C$2,$N$23,$Q94)</f>
        <v>#VALUE!</v>
      </c>
      <c r="AV94" s="7" t="e">
        <f>StepperPower($F$24,$G$24,$H$24,$J$24,$K$24,$L$24,$C$2,$N$24,$Q94)</f>
        <v>#VALUE!</v>
      </c>
      <c r="AW94" s="7" t="e">
        <f>StepperPower($F$25,$G$25,$H$25,$J$25,$K$25,$L$25,$C$2,$N$25,$Q94)</f>
        <v>#VALUE!</v>
      </c>
      <c r="AX94" s="7" t="e">
        <f>StepperPower($F$26,$G$26,$H$26,$J$26,$K$26,$L$26,$C$2,$N$26,$Q94)</f>
        <v>#VALUE!</v>
      </c>
      <c r="AY94" s="7" t="e">
        <f>StepperPower($F$27,$G$27,$H$27,$J$27,$K$27,$L$27,$C$2,$N$27,$Q94)</f>
        <v>#VALUE!</v>
      </c>
      <c r="AZ94" s="7" t="e">
        <f>StepperPower($F$28,$G$28,$H$28,$J$28,$K$28,$L$28,$C$2,$N$28,$Q94)</f>
        <v>#VALUE!</v>
      </c>
      <c r="BA94" s="7" t="e">
        <f>StepperPower($F$29,$G$29,$H$29,$J$29,$K$29,$L$29,$C$2,$N$29,$Q94)</f>
        <v>#VALUE!</v>
      </c>
      <c r="BB94" s="7" t="e">
        <f>StepperPower($F$30,$G$30,$H$30,$J$30,$K$30,$L$30,$C$2,$N$30,$Q94)</f>
        <v>#VALUE!</v>
      </c>
      <c r="BC94" s="7"/>
    </row>
    <row r="95" spans="3:55" x14ac:dyDescent="0.25">
      <c r="Q95">
        <f t="shared" si="11"/>
        <v>46</v>
      </c>
      <c r="R95">
        <f t="shared" si="8"/>
        <v>1840</v>
      </c>
      <c r="T95" s="7" cm="1">
        <f t="array" aca="1" ref="T95" ca="1">(_xlfn.SINGLE(SingleCoilTorque($F$15,$G$15,IF($I$15="",$H$15,INDEX(INDIRECT(_xlfn.CONCAT($I$15,"[Torque]")),MATCH(MIN(ABS(INDIRECT(_xlfn.CONCAT($I$15,"[RPM]"))-$R95*60/2/$C$6)),ABS(INDIRECT(_xlfn.CONCAT($I$15,"[RPM]"))-$R95*60/2/$C$6),0))*100),$J$15,$K$15,$L$15,$C$2,$N$15,$Q95))-$O$15)*$C$8</f>
        <v>0.18544229132111525</v>
      </c>
      <c r="U95" s="7" cm="1">
        <f t="array" aca="1" ref="U95" ca="1">(_xlfn.SINGLE(SingleCoilTorque($F$16,$G$16,IF($I$16="",$H$16,INDEX(INDIRECT(_xlfn.CONCAT($I$16,"[Torque]")),MATCH(MIN(ABS(INDIRECT(_xlfn.CONCAT($I$16,"[RPM]"))-$R95*60/2/$C$6)),ABS(INDIRECT(_xlfn.CONCAT($I$16,"[RPM]"))-$R95*60/2/$C$6),0))*100),$J$16,$K$16,$L$16,$C$2,$N$16,$Q95))-$O$16)*$C$8</f>
        <v>3.7850351843605523</v>
      </c>
      <c r="V95" s="7" cm="1">
        <f t="array" aca="1" ref="V95" ca="1">(_xlfn.SINGLE(SingleCoilTorque($F$17,$G$17,IF($I$17="",$H$17,INDEX(INDIRECT(_xlfn.CONCAT($I$17,"[Torque]")),MATCH(MIN(ABS(INDIRECT(_xlfn.CONCAT($I$17,"[RPM]"))-$R95*60/2/$C$6)),ABS(INDIRECT(_xlfn.CONCAT($I$17,"[RPM]"))-$R95*60/2/$C$6),0))*100),$J$17,$K$17,$L$17,$C$2,$N$17,$Q95))-$O$17)*$C$8</f>
        <v>-5.3053103544649707</v>
      </c>
      <c r="W95" s="7" t="e" cm="1">
        <f t="array" aca="1" ref="W95" ca="1">(_xlfn.SINGLE(SingleCoilTorque($F$18,$G$18,IF($I$18="",$H$18,INDEX(INDIRECT(_xlfn.CONCAT($I$18,"[Torque]")),MATCH(MIN(ABS(INDIRECT(_xlfn.CONCAT($I$18,"[RPM]"))-$R95*60/2/$C$6)),ABS(INDIRECT(_xlfn.CONCAT($I$18,"[RPM]"))-$R95*60/2/$C$6),0))*100),$J$18,$K$18,$L$18,$C$2,$N$18,$Q95))-$O$18)*$C$8</f>
        <v>#VALUE!</v>
      </c>
      <c r="X95" s="7" t="e" cm="1">
        <f t="array" aca="1" ref="X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Y95" s="7" t="e" cm="1">
        <f t="array" aca="1" ref="Y95" ca="1">(_xlfn.SINGLE(SingleCoilTorque($F$20,$G$20,IF($I$20="",$H$20,INDEX(INDIRECT(_xlfn.CONCAT($I$20,"[Torque]")),MATCH(MIN(ABS(INDIRECT(_xlfn.CONCAT($I$20,"[RPM]"))-$R95*60/2/$C$6)),ABS(INDIRECT(_xlfn.CONCAT($I$20,"[RPM]"))-$R95*60/2/$C$6),0))*100),$J$20,$K$20,$L$20,$C$2,$N$20,$Q95))-$O$20)*$C$8</f>
        <v>#VALUE!</v>
      </c>
      <c r="Z95" s="7" t="e" cm="1">
        <f t="array" aca="1" ref="Z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A95" s="7" t="e" cm="1">
        <f t="array" aca="1" ref="AA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B95" s="7" t="e" cm="1">
        <f t="array" aca="1" ref="AB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C95" s="7" t="e" cm="1">
        <f t="array" aca="1" ref="AC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D95" s="7" t="e" cm="1">
        <f t="array" aca="1" ref="AD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E95" s="7" t="e" cm="1">
        <f t="array" aca="1" ref="AE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F95" s="7" t="e" cm="1">
        <f t="array" aca="1" ref="AF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G95" s="7" t="e" cm="1">
        <f t="array" aca="1" ref="AG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H95" s="7" t="e" cm="1">
        <f t="array" aca="1" ref="AH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I95" s="7" t="e" cm="1">
        <f t="array" aca="1" ref="AI95" ca="1">(_xlfn.SINGLE(SingleCoilTorque($F$19,$G$19,IF($I$19="",$H$19,INDEX(INDIRECT(_xlfn.CONCAT($I$19,"[Torque]")),MATCH(MIN(ABS(INDIRECT(_xlfn.CONCAT($I$19,"[RPM]"))-$R95*60/2/$C$6)),ABS(INDIRECT(_xlfn.CONCAT($I$19,"[RPM]"))-$R95*60/2/$C$6),0))*100),$J$19,$K$19,$L$19,$C$2,$N$19,$Q95))-$O$19)*$C$8</f>
        <v>#VALUE!</v>
      </c>
      <c r="AJ95" s="7">
        <f t="shared" si="9"/>
        <v>23.8732414637843</v>
      </c>
      <c r="AL95">
        <f t="shared" si="10"/>
        <v>1840</v>
      </c>
      <c r="AM95" s="7">
        <f>StepperPower($F$15,$G$15,$H$15,$J$15,$K$15,$L$15,$C$2,$N$15,$Q95)</f>
        <v>0</v>
      </c>
      <c r="AN95" s="7">
        <f>StepperPower($F$16,$G$16,$H$16,$J$16,$K$16,$L$16,$C$2,$N$16,$Q95)</f>
        <v>0</v>
      </c>
      <c r="AO95" s="7">
        <f>StepperPower($F$17,$G$17,$H$17,$J$17,$K$17,$L$17,$C$2,$N$17,$Q95)</f>
        <v>0</v>
      </c>
      <c r="AP95" s="7" t="e">
        <f>StepperPower($F$18,$G$18,$H$18,$J$18,$K$18,$L$18,$C$2,$N$18,$Q95)</f>
        <v>#VALUE!</v>
      </c>
      <c r="AQ95" s="7" t="e">
        <f>StepperPower($F$19,$G$19,$H$19,$J$19,$K$19,$L$19,$C$2,$N$19,$Q95)</f>
        <v>#VALUE!</v>
      </c>
      <c r="AR95" s="7" t="e">
        <f>StepperPower($F$20,$G$20,$H$20,$J$20,$K$20,$L$20,$C$2,$N$20,$Q95)</f>
        <v>#VALUE!</v>
      </c>
      <c r="AS95" s="7" t="e">
        <f>StepperPower($F$21,$G$21,$H$21,$J$21,$K$21,$L$21,$C$2,$N$21,$Q95)</f>
        <v>#VALUE!</v>
      </c>
      <c r="AT95" s="7" t="e">
        <f>StepperPower($F$22,$G$22,$H$22,$J$22,$K$22,$L$22,$C$2,$N$22,$Q95)</f>
        <v>#VALUE!</v>
      </c>
      <c r="AU95" s="7" t="e">
        <f>StepperPower($F$23,$G$23,$H$23,$J$23,$K$23,$L$23,$C$2,$N$23,$Q95)</f>
        <v>#VALUE!</v>
      </c>
      <c r="AV95" s="7" t="e">
        <f>StepperPower($F$24,$G$24,$H$24,$J$24,$K$24,$L$24,$C$2,$N$24,$Q95)</f>
        <v>#VALUE!</v>
      </c>
      <c r="AW95" s="7" t="e">
        <f>StepperPower($F$25,$G$25,$H$25,$J$25,$K$25,$L$25,$C$2,$N$25,$Q95)</f>
        <v>#VALUE!</v>
      </c>
      <c r="AX95" s="7" t="e">
        <f>StepperPower($F$26,$G$26,$H$26,$J$26,$K$26,$L$26,$C$2,$N$26,$Q95)</f>
        <v>#VALUE!</v>
      </c>
      <c r="AY95" s="7" t="e">
        <f>StepperPower($F$27,$G$27,$H$27,$J$27,$K$27,$L$27,$C$2,$N$27,$Q95)</f>
        <v>#VALUE!</v>
      </c>
      <c r="AZ95" s="7" t="e">
        <f>StepperPower($F$28,$G$28,$H$28,$J$28,$K$28,$L$28,$C$2,$N$28,$Q95)</f>
        <v>#VALUE!</v>
      </c>
      <c r="BA95" s="7" t="e">
        <f>StepperPower($F$29,$G$29,$H$29,$J$29,$K$29,$L$29,$C$2,$N$29,$Q95)</f>
        <v>#VALUE!</v>
      </c>
      <c r="BB95" s="7" t="e">
        <f>StepperPower($F$30,$G$30,$H$30,$J$30,$K$30,$L$30,$C$2,$N$30,$Q95)</f>
        <v>#VALUE!</v>
      </c>
      <c r="BC95" s="7"/>
    </row>
    <row r="96" spans="3:55" x14ac:dyDescent="0.25">
      <c r="Q96">
        <f t="shared" si="11"/>
        <v>46.5</v>
      </c>
      <c r="R96">
        <f t="shared" si="8"/>
        <v>1860</v>
      </c>
      <c r="T96" s="7" cm="1">
        <f t="array" aca="1" ref="T96" ca="1">(_xlfn.SINGLE(SingleCoilTorque($F$15,$G$15,IF($I$15="",$H$15,INDEX(INDIRECT(_xlfn.CONCAT($I$15,"[Torque]")),MATCH(MIN(ABS(INDIRECT(_xlfn.CONCAT($I$15,"[RPM]"))-$R96*60/2/$C$6)),ABS(INDIRECT(_xlfn.CONCAT($I$15,"[RPM]"))-$R96*60/2/$C$6),0))*100),$J$15,$K$15,$L$15,$C$2,$N$15,$Q96))-$O$15)*$C$8</f>
        <v>-3.9792088625557658E-2</v>
      </c>
      <c r="U96" s="7" cm="1">
        <f t="array" aca="1" ref="U96" ca="1">(_xlfn.SINGLE(SingleCoilTorque($F$16,$G$16,IF($I$16="",$H$16,INDEX(INDIRECT(_xlfn.CONCAT($I$16,"[Torque]")),MATCH(MIN(ABS(INDIRECT(_xlfn.CONCAT($I$16,"[RPM]"))-$R96*60/2/$C$6)),ABS(INDIRECT(_xlfn.CONCAT($I$16,"[RPM]"))-$R96*60/2/$C$6),0))*100),$J$16,$K$16,$L$16,$C$2,$N$16,$Q96))-$O$16)*$C$8</f>
        <v>3.5567129974760068</v>
      </c>
      <c r="V96" s="7" cm="1">
        <f t="array" aca="1" ref="V96" ca="1">(_xlfn.SINGLE(SingleCoilTorque($F$17,$G$17,IF($I$17="",$H$17,INDEX(INDIRECT(_xlfn.CONCAT($I$17,"[Torque]")),MATCH(MIN(ABS(INDIRECT(_xlfn.CONCAT($I$17,"[RPM]"))-$R96*60/2/$C$6)),ABS(INDIRECT(_xlfn.CONCAT($I$17,"[RPM]"))-$R96*60/2/$C$6),0))*100),$J$17,$K$17,$L$17,$C$2,$N$17,$Q96))-$O$17)*$C$8</f>
        <v>-5.4533675908923875</v>
      </c>
      <c r="W96" s="7" t="e" cm="1">
        <f t="array" aca="1" ref="W96" ca="1">(_xlfn.SINGLE(SingleCoilTorque($F$18,$G$18,IF($I$18="",$H$18,INDEX(INDIRECT(_xlfn.CONCAT($I$18,"[Torque]")),MATCH(MIN(ABS(INDIRECT(_xlfn.CONCAT($I$18,"[RPM]"))-$R96*60/2/$C$6)),ABS(INDIRECT(_xlfn.CONCAT($I$18,"[RPM]"))-$R96*60/2/$C$6),0))*100),$J$18,$K$18,$L$18,$C$2,$N$18,$Q96))-$O$18)*$C$8</f>
        <v>#VALUE!</v>
      </c>
      <c r="X96" s="7" t="e" cm="1">
        <f t="array" aca="1" ref="X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Y96" s="7" t="e" cm="1">
        <f t="array" aca="1" ref="Y96" ca="1">(_xlfn.SINGLE(SingleCoilTorque($F$20,$G$20,IF($I$20="",$H$20,INDEX(INDIRECT(_xlfn.CONCAT($I$20,"[Torque]")),MATCH(MIN(ABS(INDIRECT(_xlfn.CONCAT($I$20,"[RPM]"))-$R96*60/2/$C$6)),ABS(INDIRECT(_xlfn.CONCAT($I$20,"[RPM]"))-$R96*60/2/$C$6),0))*100),$J$20,$K$20,$L$20,$C$2,$N$20,$Q96))-$O$20)*$C$8</f>
        <v>#VALUE!</v>
      </c>
      <c r="Z96" s="7" t="e" cm="1">
        <f t="array" aca="1" ref="Z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A96" s="7" t="e" cm="1">
        <f t="array" aca="1" ref="AA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B96" s="7" t="e" cm="1">
        <f t="array" aca="1" ref="AB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C96" s="7" t="e" cm="1">
        <f t="array" aca="1" ref="AC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D96" s="7" t="e" cm="1">
        <f t="array" aca="1" ref="AD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E96" s="7" t="e" cm="1">
        <f t="array" aca="1" ref="AE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F96" s="7" t="e" cm="1">
        <f t="array" aca="1" ref="AF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G96" s="7" t="e" cm="1">
        <f t="array" aca="1" ref="AG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H96" s="7" t="e" cm="1">
        <f t="array" aca="1" ref="AH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I96" s="7" t="e" cm="1">
        <f t="array" aca="1" ref="AI96" ca="1">(_xlfn.SINGLE(SingleCoilTorque($F$19,$G$19,IF($I$19="",$H$19,INDEX(INDIRECT(_xlfn.CONCAT($I$19,"[Torque]")),MATCH(MIN(ABS(INDIRECT(_xlfn.CONCAT($I$19,"[RPM]"))-$R96*60/2/$C$6)),ABS(INDIRECT(_xlfn.CONCAT($I$19,"[RPM]"))-$R96*60/2/$C$6),0))*100),$J$19,$K$19,$L$19,$C$2,$N$19,$Q96))-$O$19)*$C$8</f>
        <v>#VALUE!</v>
      </c>
      <c r="AJ96" s="7">
        <f t="shared" si="9"/>
        <v>23.8732414637843</v>
      </c>
      <c r="AL96">
        <f t="shared" si="10"/>
        <v>1860</v>
      </c>
      <c r="AM96" s="7">
        <f>StepperPower($F$15,$G$15,$H$15,$J$15,$K$15,$L$15,$C$2,$N$15,$Q96)</f>
        <v>0</v>
      </c>
      <c r="AN96" s="7">
        <f>StepperPower($F$16,$G$16,$H$16,$J$16,$K$16,$L$16,$C$2,$N$16,$Q96)</f>
        <v>0</v>
      </c>
      <c r="AO96" s="7">
        <f>StepperPower($F$17,$G$17,$H$17,$J$17,$K$17,$L$17,$C$2,$N$17,$Q96)</f>
        <v>0</v>
      </c>
      <c r="AP96" s="7" t="e">
        <f>StepperPower($F$18,$G$18,$H$18,$J$18,$K$18,$L$18,$C$2,$N$18,$Q96)</f>
        <v>#VALUE!</v>
      </c>
      <c r="AQ96" s="7" t="e">
        <f>StepperPower($F$19,$G$19,$H$19,$J$19,$K$19,$L$19,$C$2,$N$19,$Q96)</f>
        <v>#VALUE!</v>
      </c>
      <c r="AR96" s="7" t="e">
        <f>StepperPower($F$20,$G$20,$H$20,$J$20,$K$20,$L$20,$C$2,$N$20,$Q96)</f>
        <v>#VALUE!</v>
      </c>
      <c r="AS96" s="7" t="e">
        <f>StepperPower($F$21,$G$21,$H$21,$J$21,$K$21,$L$21,$C$2,$N$21,$Q96)</f>
        <v>#VALUE!</v>
      </c>
      <c r="AT96" s="7" t="e">
        <f>StepperPower($F$22,$G$22,$H$22,$J$22,$K$22,$L$22,$C$2,$N$22,$Q96)</f>
        <v>#VALUE!</v>
      </c>
      <c r="AU96" s="7" t="e">
        <f>StepperPower($F$23,$G$23,$H$23,$J$23,$K$23,$L$23,$C$2,$N$23,$Q96)</f>
        <v>#VALUE!</v>
      </c>
      <c r="AV96" s="7" t="e">
        <f>StepperPower($F$24,$G$24,$H$24,$J$24,$K$24,$L$24,$C$2,$N$24,$Q96)</f>
        <v>#VALUE!</v>
      </c>
      <c r="AW96" s="7" t="e">
        <f>StepperPower($F$25,$G$25,$H$25,$J$25,$K$25,$L$25,$C$2,$N$25,$Q96)</f>
        <v>#VALUE!</v>
      </c>
      <c r="AX96" s="7" t="e">
        <f>StepperPower($F$26,$G$26,$H$26,$J$26,$K$26,$L$26,$C$2,$N$26,$Q96)</f>
        <v>#VALUE!</v>
      </c>
      <c r="AY96" s="7" t="e">
        <f>StepperPower($F$27,$G$27,$H$27,$J$27,$K$27,$L$27,$C$2,$N$27,$Q96)</f>
        <v>#VALUE!</v>
      </c>
      <c r="AZ96" s="7" t="e">
        <f>StepperPower($F$28,$G$28,$H$28,$J$28,$K$28,$L$28,$C$2,$N$28,$Q96)</f>
        <v>#VALUE!</v>
      </c>
      <c r="BA96" s="7" t="e">
        <f>StepperPower($F$29,$G$29,$H$29,$J$29,$K$29,$L$29,$C$2,$N$29,$Q96)</f>
        <v>#VALUE!</v>
      </c>
      <c r="BB96" s="7" t="e">
        <f>StepperPower($F$30,$G$30,$H$30,$J$30,$K$30,$L$30,$C$2,$N$30,$Q96)</f>
        <v>#VALUE!</v>
      </c>
      <c r="BC96" s="7"/>
    </row>
    <row r="97" spans="17:55" x14ac:dyDescent="0.25">
      <c r="Q97">
        <f t="shared" si="11"/>
        <v>47</v>
      </c>
      <c r="R97">
        <f t="shared" si="8"/>
        <v>1880</v>
      </c>
      <c r="T97" s="7" cm="1">
        <f t="array" aca="1" ref="T97" ca="1">(_xlfn.SINGLE(SingleCoilTorque($F$15,$G$15,IF($I$15="",$H$15,INDEX(INDIRECT(_xlfn.CONCAT($I$15,"[Torque]")),MATCH(MIN(ABS(INDIRECT(_xlfn.CONCAT($I$15,"[RPM]"))-$R97*60/2/$C$6)),ABS(INDIRECT(_xlfn.CONCAT($I$15,"[RPM]"))-$R97*60/2/$C$6),0))*100),$J$15,$K$15,$L$15,$C$2,$N$15,$Q97))-$O$15)*$C$8</f>
        <v>-0.26042886294650319</v>
      </c>
      <c r="U97" s="7" cm="1">
        <f t="array" aca="1" ref="U97" ca="1">(_xlfn.SINGLE(SingleCoilTorque($F$16,$G$16,IF($I$16="",$H$16,INDEX(INDIRECT(_xlfn.CONCAT($I$16,"[Torque]")),MATCH(MIN(ABS(INDIRECT(_xlfn.CONCAT($I$16,"[RPM]"))-$R97*60/2/$C$6)),ABS(INDIRECT(_xlfn.CONCAT($I$16,"[RPM]"))-$R97*60/2/$C$6),0))*100),$J$16,$K$16,$L$16,$C$2,$N$16,$Q97))-$O$16)*$C$8</f>
        <v>3.3330704505215127</v>
      </c>
      <c r="V97" s="7" cm="1">
        <f t="array" aca="1" ref="V97" ca="1">(_xlfn.SINGLE(SingleCoilTorque($F$17,$G$17,IF($I$17="",$H$17,INDEX(INDIRECT(_xlfn.CONCAT($I$17,"[Torque]")),MATCH(MIN(ABS(INDIRECT(_xlfn.CONCAT($I$17,"[RPM]"))-$R97*60/2/$C$6)),ABS(INDIRECT(_xlfn.CONCAT($I$17,"[RPM]"))-$R97*60/2/$C$6),0))*100),$J$17,$K$17,$L$17,$C$2,$N$17,$Q97))-$O$17)*$C$8</f>
        <v>-5.598361130252802</v>
      </c>
      <c r="W97" s="7" t="e" cm="1">
        <f t="array" aca="1" ref="W97" ca="1">(_xlfn.SINGLE(SingleCoilTorque($F$18,$G$18,IF($I$18="",$H$18,INDEX(INDIRECT(_xlfn.CONCAT($I$18,"[Torque]")),MATCH(MIN(ABS(INDIRECT(_xlfn.CONCAT($I$18,"[RPM]"))-$R97*60/2/$C$6)),ABS(INDIRECT(_xlfn.CONCAT($I$18,"[RPM]"))-$R97*60/2/$C$6),0))*100),$J$18,$K$18,$L$18,$C$2,$N$18,$Q97))-$O$18)*$C$8</f>
        <v>#VALUE!</v>
      </c>
      <c r="X97" s="7" t="e" cm="1">
        <f t="array" aca="1" ref="X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Y97" s="7" t="e" cm="1">
        <f t="array" aca="1" ref="Y97" ca="1">(_xlfn.SINGLE(SingleCoilTorque($F$20,$G$20,IF($I$20="",$H$20,INDEX(INDIRECT(_xlfn.CONCAT($I$20,"[Torque]")),MATCH(MIN(ABS(INDIRECT(_xlfn.CONCAT($I$20,"[RPM]"))-$R97*60/2/$C$6)),ABS(INDIRECT(_xlfn.CONCAT($I$20,"[RPM]"))-$R97*60/2/$C$6),0))*100),$J$20,$K$20,$L$20,$C$2,$N$20,$Q97))-$O$20)*$C$8</f>
        <v>#VALUE!</v>
      </c>
      <c r="Z97" s="7" t="e" cm="1">
        <f t="array" aca="1" ref="Z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A97" s="7" t="e" cm="1">
        <f t="array" aca="1" ref="AA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B97" s="7" t="e" cm="1">
        <f t="array" aca="1" ref="AB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C97" s="7" t="e" cm="1">
        <f t="array" aca="1" ref="AC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D97" s="7" t="e" cm="1">
        <f t="array" aca="1" ref="AD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E97" s="7" t="e" cm="1">
        <f t="array" aca="1" ref="AE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F97" s="7" t="e" cm="1">
        <f t="array" aca="1" ref="AF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G97" s="7" t="e" cm="1">
        <f t="array" aca="1" ref="AG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H97" s="7" t="e" cm="1">
        <f t="array" aca="1" ref="AH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I97" s="7" t="e" cm="1">
        <f t="array" aca="1" ref="AI97" ca="1">(_xlfn.SINGLE(SingleCoilTorque($F$19,$G$19,IF($I$19="",$H$19,INDEX(INDIRECT(_xlfn.CONCAT($I$19,"[Torque]")),MATCH(MIN(ABS(INDIRECT(_xlfn.CONCAT($I$19,"[RPM]"))-$R97*60/2/$C$6)),ABS(INDIRECT(_xlfn.CONCAT($I$19,"[RPM]"))-$R97*60/2/$C$6),0))*100),$J$19,$K$19,$L$19,$C$2,$N$19,$Q97))-$O$19)*$C$8</f>
        <v>#VALUE!</v>
      </c>
      <c r="AJ97" s="7">
        <f t="shared" si="9"/>
        <v>23.8732414637843</v>
      </c>
      <c r="AL97">
        <f t="shared" si="10"/>
        <v>1880</v>
      </c>
      <c r="AM97" s="7">
        <f>StepperPower($F$15,$G$15,$H$15,$J$15,$K$15,$L$15,$C$2,$N$15,$Q97)</f>
        <v>0</v>
      </c>
      <c r="AN97" s="7">
        <f>StepperPower($F$16,$G$16,$H$16,$J$16,$K$16,$L$16,$C$2,$N$16,$Q97)</f>
        <v>0</v>
      </c>
      <c r="AO97" s="7">
        <f>StepperPower($F$17,$G$17,$H$17,$J$17,$K$17,$L$17,$C$2,$N$17,$Q97)</f>
        <v>0</v>
      </c>
      <c r="AP97" s="7" t="e">
        <f>StepperPower($F$18,$G$18,$H$18,$J$18,$K$18,$L$18,$C$2,$N$18,$Q97)</f>
        <v>#VALUE!</v>
      </c>
      <c r="AQ97" s="7" t="e">
        <f>StepperPower($F$19,$G$19,$H$19,$J$19,$K$19,$L$19,$C$2,$N$19,$Q97)</f>
        <v>#VALUE!</v>
      </c>
      <c r="AR97" s="7" t="e">
        <f>StepperPower($F$20,$G$20,$H$20,$J$20,$K$20,$L$20,$C$2,$N$20,$Q97)</f>
        <v>#VALUE!</v>
      </c>
      <c r="AS97" s="7" t="e">
        <f>StepperPower($F$21,$G$21,$H$21,$J$21,$K$21,$L$21,$C$2,$N$21,$Q97)</f>
        <v>#VALUE!</v>
      </c>
      <c r="AT97" s="7" t="e">
        <f>StepperPower($F$22,$G$22,$H$22,$J$22,$K$22,$L$22,$C$2,$N$22,$Q97)</f>
        <v>#VALUE!</v>
      </c>
      <c r="AU97" s="7" t="e">
        <f>StepperPower($F$23,$G$23,$H$23,$J$23,$K$23,$L$23,$C$2,$N$23,$Q97)</f>
        <v>#VALUE!</v>
      </c>
      <c r="AV97" s="7" t="e">
        <f>StepperPower($F$24,$G$24,$H$24,$J$24,$K$24,$L$24,$C$2,$N$24,$Q97)</f>
        <v>#VALUE!</v>
      </c>
      <c r="AW97" s="7" t="e">
        <f>StepperPower($F$25,$G$25,$H$25,$J$25,$K$25,$L$25,$C$2,$N$25,$Q97)</f>
        <v>#VALUE!</v>
      </c>
      <c r="AX97" s="7" t="e">
        <f>StepperPower($F$26,$G$26,$H$26,$J$26,$K$26,$L$26,$C$2,$N$26,$Q97)</f>
        <v>#VALUE!</v>
      </c>
      <c r="AY97" s="7" t="e">
        <f>StepperPower($F$27,$G$27,$H$27,$J$27,$K$27,$L$27,$C$2,$N$27,$Q97)</f>
        <v>#VALUE!</v>
      </c>
      <c r="AZ97" s="7" t="e">
        <f>StepperPower($F$28,$G$28,$H$28,$J$28,$K$28,$L$28,$C$2,$N$28,$Q97)</f>
        <v>#VALUE!</v>
      </c>
      <c r="BA97" s="7" t="e">
        <f>StepperPower($F$29,$G$29,$H$29,$J$29,$K$29,$L$29,$C$2,$N$29,$Q97)</f>
        <v>#VALUE!</v>
      </c>
      <c r="BB97" s="7" t="e">
        <f>StepperPower($F$30,$G$30,$H$30,$J$30,$K$30,$L$30,$C$2,$N$30,$Q97)</f>
        <v>#VALUE!</v>
      </c>
      <c r="BC97" s="7"/>
    </row>
    <row r="98" spans="17:55" x14ac:dyDescent="0.25">
      <c r="Q98">
        <f t="shared" si="11"/>
        <v>47.5</v>
      </c>
      <c r="R98">
        <f t="shared" si="8"/>
        <v>1900</v>
      </c>
      <c r="T98" s="7" cm="1">
        <f t="array" aca="1" ref="T98" ca="1">(_xlfn.SINGLE(SingleCoilTorque($F$15,$G$15,IF($I$15="",$H$15,INDEX(INDIRECT(_xlfn.CONCAT($I$15,"[Torque]")),MATCH(MIN(ABS(INDIRECT(_xlfn.CONCAT($I$15,"[RPM]"))-$R98*60/2/$C$6)),ABS(INDIRECT(_xlfn.CONCAT($I$15,"[RPM]"))-$R98*60/2/$C$6),0))*100),$J$15,$K$15,$L$15,$C$2,$N$15,$Q98))-$O$15)*$C$8</f>
        <v>-0.47660738259637725</v>
      </c>
      <c r="U98" s="7" cm="1">
        <f t="array" aca="1" ref="U98" ca="1">(_xlfn.SINGLE(SingleCoilTorque($F$16,$G$16,IF($I$16="",$H$16,INDEX(INDIRECT(_xlfn.CONCAT($I$16,"[Torque]")),MATCH(MIN(ABS(INDIRECT(_xlfn.CONCAT($I$16,"[RPM]"))-$R98*60/2/$C$6)),ABS(INDIRECT(_xlfn.CONCAT($I$16,"[RPM]"))-$R98*60/2/$C$6),0))*100),$J$16,$K$16,$L$16,$C$2,$N$16,$Q98))-$O$16)*$C$8</f>
        <v>3.1139651336339926</v>
      </c>
      <c r="V98" s="7" cm="1">
        <f t="array" aca="1" ref="V98" ca="1">(_xlfn.SINGLE(SingleCoilTorque($F$17,$G$17,IF($I$17="",$H$17,INDEX(INDIRECT(_xlfn.CONCAT($I$17,"[Torque]")),MATCH(MIN(ABS(INDIRECT(_xlfn.CONCAT($I$17,"[RPM]"))-$R98*60/2/$C$6)),ABS(INDIRECT(_xlfn.CONCAT($I$17,"[RPM]"))-$R98*60/2/$C$6),0))*100),$J$17,$K$17,$L$17,$C$2,$N$17,$Q98))-$O$17)*$C$8</f>
        <v>-5.7403850927795306</v>
      </c>
      <c r="W98" s="7" t="e" cm="1">
        <f t="array" aca="1" ref="W98" ca="1">(_xlfn.SINGLE(SingleCoilTorque($F$18,$G$18,IF($I$18="",$H$18,INDEX(INDIRECT(_xlfn.CONCAT($I$18,"[Torque]")),MATCH(MIN(ABS(INDIRECT(_xlfn.CONCAT($I$18,"[RPM]"))-$R98*60/2/$C$6)),ABS(INDIRECT(_xlfn.CONCAT($I$18,"[RPM]"))-$R98*60/2/$C$6),0))*100),$J$18,$K$18,$L$18,$C$2,$N$18,$Q98))-$O$18)*$C$8</f>
        <v>#VALUE!</v>
      </c>
      <c r="X98" s="7" t="e" cm="1">
        <f t="array" aca="1" ref="X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Y98" s="7" t="e" cm="1">
        <f t="array" aca="1" ref="Y98" ca="1">(_xlfn.SINGLE(SingleCoilTorque($F$20,$G$20,IF($I$20="",$H$20,INDEX(INDIRECT(_xlfn.CONCAT($I$20,"[Torque]")),MATCH(MIN(ABS(INDIRECT(_xlfn.CONCAT($I$20,"[RPM]"))-$R98*60/2/$C$6)),ABS(INDIRECT(_xlfn.CONCAT($I$20,"[RPM]"))-$R98*60/2/$C$6),0))*100),$J$20,$K$20,$L$20,$C$2,$N$20,$Q98))-$O$20)*$C$8</f>
        <v>#VALUE!</v>
      </c>
      <c r="Z98" s="7" t="e" cm="1">
        <f t="array" aca="1" ref="Z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A98" s="7" t="e" cm="1">
        <f t="array" aca="1" ref="AA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B98" s="7" t="e" cm="1">
        <f t="array" aca="1" ref="AB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C98" s="7" t="e" cm="1">
        <f t="array" aca="1" ref="AC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D98" s="7" t="e" cm="1">
        <f t="array" aca="1" ref="AD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E98" s="7" t="e" cm="1">
        <f t="array" aca="1" ref="AE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F98" s="7" t="e" cm="1">
        <f t="array" aca="1" ref="AF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G98" s="7" t="e" cm="1">
        <f t="array" aca="1" ref="AG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H98" s="7" t="e" cm="1">
        <f t="array" aca="1" ref="AH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I98" s="7" t="e" cm="1">
        <f t="array" aca="1" ref="AI98" ca="1">(_xlfn.SINGLE(SingleCoilTorque($F$19,$G$19,IF($I$19="",$H$19,INDEX(INDIRECT(_xlfn.CONCAT($I$19,"[Torque]")),MATCH(MIN(ABS(INDIRECT(_xlfn.CONCAT($I$19,"[RPM]"))-$R98*60/2/$C$6)),ABS(INDIRECT(_xlfn.CONCAT($I$19,"[RPM]"))-$R98*60/2/$C$6),0))*100),$J$19,$K$19,$L$19,$C$2,$N$19,$Q98))-$O$19)*$C$8</f>
        <v>#VALUE!</v>
      </c>
      <c r="AJ98" s="7">
        <f t="shared" si="9"/>
        <v>23.8732414637843</v>
      </c>
      <c r="AL98">
        <f t="shared" si="10"/>
        <v>1900</v>
      </c>
      <c r="AM98" s="7">
        <f>StepperPower($F$15,$G$15,$H$15,$J$15,$K$15,$L$15,$C$2,$N$15,$Q98)</f>
        <v>0</v>
      </c>
      <c r="AN98" s="7">
        <f>StepperPower($F$16,$G$16,$H$16,$J$16,$K$16,$L$16,$C$2,$N$16,$Q98)</f>
        <v>0</v>
      </c>
      <c r="AO98" s="7">
        <f>StepperPower($F$17,$G$17,$H$17,$J$17,$K$17,$L$17,$C$2,$N$17,$Q98)</f>
        <v>0</v>
      </c>
      <c r="AP98" s="7" t="e">
        <f>StepperPower($F$18,$G$18,$H$18,$J$18,$K$18,$L$18,$C$2,$N$18,$Q98)</f>
        <v>#VALUE!</v>
      </c>
      <c r="AQ98" s="7" t="e">
        <f>StepperPower($F$19,$G$19,$H$19,$J$19,$K$19,$L$19,$C$2,$N$19,$Q98)</f>
        <v>#VALUE!</v>
      </c>
      <c r="AR98" s="7" t="e">
        <f>StepperPower($F$20,$G$20,$H$20,$J$20,$K$20,$L$20,$C$2,$N$20,$Q98)</f>
        <v>#VALUE!</v>
      </c>
      <c r="AS98" s="7" t="e">
        <f>StepperPower($F$21,$G$21,$H$21,$J$21,$K$21,$L$21,$C$2,$N$21,$Q98)</f>
        <v>#VALUE!</v>
      </c>
      <c r="AT98" s="7" t="e">
        <f>StepperPower($F$22,$G$22,$H$22,$J$22,$K$22,$L$22,$C$2,$N$22,$Q98)</f>
        <v>#VALUE!</v>
      </c>
      <c r="AU98" s="7" t="e">
        <f>StepperPower($F$23,$G$23,$H$23,$J$23,$K$23,$L$23,$C$2,$N$23,$Q98)</f>
        <v>#VALUE!</v>
      </c>
      <c r="AV98" s="7" t="e">
        <f>StepperPower($F$24,$G$24,$H$24,$J$24,$K$24,$L$24,$C$2,$N$24,$Q98)</f>
        <v>#VALUE!</v>
      </c>
      <c r="AW98" s="7" t="e">
        <f>StepperPower($F$25,$G$25,$H$25,$J$25,$K$25,$L$25,$C$2,$N$25,$Q98)</f>
        <v>#VALUE!</v>
      </c>
      <c r="AX98" s="7" t="e">
        <f>StepperPower($F$26,$G$26,$H$26,$J$26,$K$26,$L$26,$C$2,$N$26,$Q98)</f>
        <v>#VALUE!</v>
      </c>
      <c r="AY98" s="7" t="e">
        <f>StepperPower($F$27,$G$27,$H$27,$J$27,$K$27,$L$27,$C$2,$N$27,$Q98)</f>
        <v>#VALUE!</v>
      </c>
      <c r="AZ98" s="7" t="e">
        <f>StepperPower($F$28,$G$28,$H$28,$J$28,$K$28,$L$28,$C$2,$N$28,$Q98)</f>
        <v>#VALUE!</v>
      </c>
      <c r="BA98" s="7" t="e">
        <f>StepperPower($F$29,$G$29,$H$29,$J$29,$K$29,$L$29,$C$2,$N$29,$Q98)</f>
        <v>#VALUE!</v>
      </c>
      <c r="BB98" s="7" t="e">
        <f>StepperPower($F$30,$G$30,$H$30,$J$30,$K$30,$L$30,$C$2,$N$30,$Q98)</f>
        <v>#VALUE!</v>
      </c>
      <c r="BC98" s="7"/>
    </row>
    <row r="99" spans="17:55" x14ac:dyDescent="0.25">
      <c r="Q99">
        <f t="shared" si="11"/>
        <v>48</v>
      </c>
      <c r="R99">
        <f t="shared" si="8"/>
        <v>1920</v>
      </c>
      <c r="T99" s="7" cm="1">
        <f t="array" aca="1" ref="T99" ca="1">(_xlfn.SINGLE(SingleCoilTorque($F$15,$G$15,IF($I$15="",$H$15,INDEX(INDIRECT(_xlfn.CONCAT($I$15,"[Torque]")),MATCH(MIN(ABS(INDIRECT(_xlfn.CONCAT($I$15,"[RPM]"))-$R99*60/2/$C$6)),ABS(INDIRECT(_xlfn.CONCAT($I$15,"[RPM]"))-$R99*60/2/$C$6),0))*100),$J$15,$K$15,$L$15,$C$2,$N$15,$Q99))-$O$15)*$C$8</f>
        <v>-0.68846142332036353</v>
      </c>
      <c r="U99" s="7" cm="1">
        <f t="array" aca="1" ref="U99" ca="1">(_xlfn.SINGLE(SingleCoilTorque($F$16,$G$16,IF($I$16="",$H$16,INDEX(INDIRECT(_xlfn.CONCAT($I$16,"[Torque]")),MATCH(MIN(ABS(INDIRECT(_xlfn.CONCAT($I$16,"[RPM]"))-$R99*60/2/$C$6)),ABS(INDIRECT(_xlfn.CONCAT($I$16,"[RPM]"))-$R99*60/2/$C$6),0))*100),$J$16,$K$16,$L$16,$C$2,$N$16,$Q99))-$O$16)*$C$8</f>
        <v>2.8992603573079236</v>
      </c>
      <c r="V99" s="7" cm="1">
        <f t="array" aca="1" ref="V99" ca="1">(_xlfn.SINGLE(SingleCoilTorque($F$17,$G$17,IF($I$17="",$H$17,INDEX(INDIRECT(_xlfn.CONCAT($I$17,"[Torque]")),MATCH(MIN(ABS(INDIRECT(_xlfn.CONCAT($I$17,"[RPM]"))-$R99*60/2/$C$6)),ABS(INDIRECT(_xlfn.CONCAT($I$17,"[RPM]"))-$R99*60/2/$C$6),0))*100),$J$17,$K$17,$L$17,$C$2,$N$17,$Q99))-$O$17)*$C$8</f>
        <v>-5.8795297824790271</v>
      </c>
      <c r="W99" s="7" t="e" cm="1">
        <f t="array" aca="1" ref="W99" ca="1">(_xlfn.SINGLE(SingleCoilTorque($F$18,$G$18,IF($I$18="",$H$18,INDEX(INDIRECT(_xlfn.CONCAT($I$18,"[Torque]")),MATCH(MIN(ABS(INDIRECT(_xlfn.CONCAT($I$18,"[RPM]"))-$R99*60/2/$C$6)),ABS(INDIRECT(_xlfn.CONCAT($I$18,"[RPM]"))-$R99*60/2/$C$6),0))*100),$J$18,$K$18,$L$18,$C$2,$N$18,$Q99))-$O$18)*$C$8</f>
        <v>#VALUE!</v>
      </c>
      <c r="X99" s="7" t="e" cm="1">
        <f t="array" aca="1" ref="X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Y99" s="7" t="e" cm="1">
        <f t="array" aca="1" ref="Y99" ca="1">(_xlfn.SINGLE(SingleCoilTorque($F$20,$G$20,IF($I$20="",$H$20,INDEX(INDIRECT(_xlfn.CONCAT($I$20,"[Torque]")),MATCH(MIN(ABS(INDIRECT(_xlfn.CONCAT($I$20,"[RPM]"))-$R99*60/2/$C$6)),ABS(INDIRECT(_xlfn.CONCAT($I$20,"[RPM]"))-$R99*60/2/$C$6),0))*100),$J$20,$K$20,$L$20,$C$2,$N$20,$Q99))-$O$20)*$C$8</f>
        <v>#VALUE!</v>
      </c>
      <c r="Z99" s="7" t="e" cm="1">
        <f t="array" aca="1" ref="Z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A99" s="7" t="e" cm="1">
        <f t="array" aca="1" ref="AA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B99" s="7" t="e" cm="1">
        <f t="array" aca="1" ref="AB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C99" s="7" t="e" cm="1">
        <f t="array" aca="1" ref="AC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D99" s="7" t="e" cm="1">
        <f t="array" aca="1" ref="AD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E99" s="7" t="e" cm="1">
        <f t="array" aca="1" ref="AE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F99" s="7" t="e" cm="1">
        <f t="array" aca="1" ref="AF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G99" s="7" t="e" cm="1">
        <f t="array" aca="1" ref="AG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H99" s="7" t="e" cm="1">
        <f t="array" aca="1" ref="AH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I99" s="7" t="e" cm="1">
        <f t="array" aca="1" ref="AI99" ca="1">(_xlfn.SINGLE(SingleCoilTorque($F$19,$G$19,IF($I$19="",$H$19,INDEX(INDIRECT(_xlfn.CONCAT($I$19,"[Torque]")),MATCH(MIN(ABS(INDIRECT(_xlfn.CONCAT($I$19,"[RPM]"))-$R99*60/2/$C$6)),ABS(INDIRECT(_xlfn.CONCAT($I$19,"[RPM]"))-$R99*60/2/$C$6),0))*100),$J$19,$K$19,$L$19,$C$2,$N$19,$Q99))-$O$19)*$C$8</f>
        <v>#VALUE!</v>
      </c>
      <c r="AJ99" s="7">
        <f t="shared" si="9"/>
        <v>23.8732414637843</v>
      </c>
      <c r="AL99">
        <f t="shared" si="10"/>
        <v>1920</v>
      </c>
      <c r="AM99" s="7">
        <f>StepperPower($F$15,$G$15,$H$15,$J$15,$K$15,$L$15,$C$2,$N$15,$Q99)</f>
        <v>0</v>
      </c>
      <c r="AN99" s="7">
        <f>StepperPower($F$16,$G$16,$H$16,$J$16,$K$16,$L$16,$C$2,$N$16,$Q99)</f>
        <v>0</v>
      </c>
      <c r="AO99" s="7">
        <f>StepperPower($F$17,$G$17,$H$17,$J$17,$K$17,$L$17,$C$2,$N$17,$Q99)</f>
        <v>0</v>
      </c>
      <c r="AP99" s="7" t="e">
        <f>StepperPower($F$18,$G$18,$H$18,$J$18,$K$18,$L$18,$C$2,$N$18,$Q99)</f>
        <v>#VALUE!</v>
      </c>
      <c r="AQ99" s="7" t="e">
        <f>StepperPower($F$19,$G$19,$H$19,$J$19,$K$19,$L$19,$C$2,$N$19,$Q99)</f>
        <v>#VALUE!</v>
      </c>
      <c r="AR99" s="7" t="e">
        <f>StepperPower($F$20,$G$20,$H$20,$J$20,$K$20,$L$20,$C$2,$N$20,$Q99)</f>
        <v>#VALUE!</v>
      </c>
      <c r="AS99" s="7" t="e">
        <f>StepperPower($F$21,$G$21,$H$21,$J$21,$K$21,$L$21,$C$2,$N$21,$Q99)</f>
        <v>#VALUE!</v>
      </c>
      <c r="AT99" s="7" t="e">
        <f>StepperPower($F$22,$G$22,$H$22,$J$22,$K$22,$L$22,$C$2,$N$22,$Q99)</f>
        <v>#VALUE!</v>
      </c>
      <c r="AU99" s="7" t="e">
        <f>StepperPower($F$23,$G$23,$H$23,$J$23,$K$23,$L$23,$C$2,$N$23,$Q99)</f>
        <v>#VALUE!</v>
      </c>
      <c r="AV99" s="7" t="e">
        <f>StepperPower($F$24,$G$24,$H$24,$J$24,$K$24,$L$24,$C$2,$N$24,$Q99)</f>
        <v>#VALUE!</v>
      </c>
      <c r="AW99" s="7" t="e">
        <f>StepperPower($F$25,$G$25,$H$25,$J$25,$K$25,$L$25,$C$2,$N$25,$Q99)</f>
        <v>#VALUE!</v>
      </c>
      <c r="AX99" s="7" t="e">
        <f>StepperPower($F$26,$G$26,$H$26,$J$26,$K$26,$L$26,$C$2,$N$26,$Q99)</f>
        <v>#VALUE!</v>
      </c>
      <c r="AY99" s="7" t="e">
        <f>StepperPower($F$27,$G$27,$H$27,$J$27,$K$27,$L$27,$C$2,$N$27,$Q99)</f>
        <v>#VALUE!</v>
      </c>
      <c r="AZ99" s="7" t="e">
        <f>StepperPower($F$28,$G$28,$H$28,$J$28,$K$28,$L$28,$C$2,$N$28,$Q99)</f>
        <v>#VALUE!</v>
      </c>
      <c r="BA99" s="7" t="e">
        <f>StepperPower($F$29,$G$29,$H$29,$J$29,$K$29,$L$29,$C$2,$N$29,$Q99)</f>
        <v>#VALUE!</v>
      </c>
      <c r="BB99" s="7" t="e">
        <f>StepperPower($F$30,$G$30,$H$30,$J$30,$K$30,$L$30,$C$2,$N$30,$Q99)</f>
        <v>#VALUE!</v>
      </c>
      <c r="BC99" s="7"/>
    </row>
    <row r="100" spans="17:55" x14ac:dyDescent="0.25">
      <c r="Q100">
        <f t="shared" si="11"/>
        <v>48.5</v>
      </c>
      <c r="R100">
        <f t="shared" si="8"/>
        <v>1940</v>
      </c>
      <c r="T100" s="7" cm="1">
        <f t="array" aca="1" ref="T100" ca="1">(_xlfn.SINGLE(SingleCoilTorque($F$15,$G$15,IF($I$15="",$H$15,INDEX(INDIRECT(_xlfn.CONCAT($I$15,"[Torque]")),MATCH(MIN(ABS(INDIRECT(_xlfn.CONCAT($I$15,"[RPM]"))-$R100*60/2/$C$6)),ABS(INDIRECT(_xlfn.CONCAT($I$15,"[RPM]"))-$R100*60/2/$C$6),0))*100),$J$15,$K$15,$L$15,$C$2,$N$15,$Q100))-$O$15)*$C$8</f>
        <v>-0.89611946171203982</v>
      </c>
      <c r="U100" s="7" cm="1">
        <f t="array" aca="1" ref="U100" ca="1">(_xlfn.SINGLE(SingleCoilTorque($F$16,$G$16,IF($I$16="",$H$16,INDEX(INDIRECT(_xlfn.CONCAT($I$16,"[Torque]")),MATCH(MIN(ABS(INDIRECT(_xlfn.CONCAT($I$16,"[RPM]"))-$R100*60/2/$C$6)),ABS(INDIRECT(_xlfn.CONCAT($I$16,"[RPM]"))-$R100*60/2/$C$6),0))*100),$J$16,$K$16,$L$16,$C$2,$N$16,$Q100))-$O$16)*$C$8</f>
        <v>2.68882486802993</v>
      </c>
      <c r="V100" s="7" cm="1">
        <f t="array" aca="1" ref="V100" ca="1">(_xlfn.SINGLE(SingleCoilTorque($F$17,$G$17,IF($I$17="",$H$17,INDEX(INDIRECT(_xlfn.CONCAT($I$17,"[Torque]")),MATCH(MIN(ABS(INDIRECT(_xlfn.CONCAT($I$17,"[RPM]"))-$R100*60/2/$C$6)),ABS(INDIRECT(_xlfn.CONCAT($I$17,"[RPM]"))-$R100*60/2/$C$6),0))*100),$J$17,$K$17,$L$17,$C$2,$N$17,$Q100))-$O$17)*$C$8</f>
        <v>-6.0158818786072974</v>
      </c>
      <c r="W100" s="7" t="e" cm="1">
        <f t="array" aca="1" ref="W100" ca="1">(_xlfn.SINGLE(SingleCoilTorque($F$18,$G$18,IF($I$18="",$H$18,INDEX(INDIRECT(_xlfn.CONCAT($I$18,"[Torque]")),MATCH(MIN(ABS(INDIRECT(_xlfn.CONCAT($I$18,"[RPM]"))-$R100*60/2/$C$6)),ABS(INDIRECT(_xlfn.CONCAT($I$18,"[RPM]"))-$R100*60/2/$C$6),0))*100),$J$18,$K$18,$L$18,$C$2,$N$18,$Q100))-$O$18)*$C$8</f>
        <v>#VALUE!</v>
      </c>
      <c r="X100" s="7" t="e" cm="1">
        <f t="array" aca="1" ref="X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Y100" s="7" t="e" cm="1">
        <f t="array" aca="1" ref="Y100" ca="1">(_xlfn.SINGLE(SingleCoilTorque($F$20,$G$20,IF($I$20="",$H$20,INDEX(INDIRECT(_xlfn.CONCAT($I$20,"[Torque]")),MATCH(MIN(ABS(INDIRECT(_xlfn.CONCAT($I$20,"[RPM]"))-$R100*60/2/$C$6)),ABS(INDIRECT(_xlfn.CONCAT($I$20,"[RPM]"))-$R100*60/2/$C$6),0))*100),$J$20,$K$20,$L$20,$C$2,$N$20,$Q100))-$O$20)*$C$8</f>
        <v>#VALUE!</v>
      </c>
      <c r="Z100" s="7" t="e" cm="1">
        <f t="array" aca="1" ref="Z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A100" s="7" t="e" cm="1">
        <f t="array" aca="1" ref="AA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B100" s="7" t="e" cm="1">
        <f t="array" aca="1" ref="AB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C100" s="7" t="e" cm="1">
        <f t="array" aca="1" ref="AC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D100" s="7" t="e" cm="1">
        <f t="array" aca="1" ref="AD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E100" s="7" t="e" cm="1">
        <f t="array" aca="1" ref="AE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F100" s="7" t="e" cm="1">
        <f t="array" aca="1" ref="AF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G100" s="7" t="e" cm="1">
        <f t="array" aca="1" ref="AG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H100" s="7" t="e" cm="1">
        <f t="array" aca="1" ref="AH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I100" s="7" t="e" cm="1">
        <f t="array" aca="1" ref="AI100" ca="1">(_xlfn.SINGLE(SingleCoilTorque($F$19,$G$19,IF($I$19="",$H$19,INDEX(INDIRECT(_xlfn.CONCAT($I$19,"[Torque]")),MATCH(MIN(ABS(INDIRECT(_xlfn.CONCAT($I$19,"[RPM]"))-$R100*60/2/$C$6)),ABS(INDIRECT(_xlfn.CONCAT($I$19,"[RPM]"))-$R100*60/2/$C$6),0))*100),$J$19,$K$19,$L$19,$C$2,$N$19,$Q100))-$O$19)*$C$8</f>
        <v>#VALUE!</v>
      </c>
      <c r="AJ100" s="7">
        <f t="shared" si="9"/>
        <v>23.8732414637843</v>
      </c>
      <c r="AL100">
        <f t="shared" si="10"/>
        <v>1940</v>
      </c>
      <c r="AM100" s="7">
        <f>StepperPower($F$15,$G$15,$H$15,$J$15,$K$15,$L$15,$C$2,$N$15,$Q100)</f>
        <v>0</v>
      </c>
      <c r="AN100" s="7">
        <f>StepperPower($F$16,$G$16,$H$16,$J$16,$K$16,$L$16,$C$2,$N$16,$Q100)</f>
        <v>0</v>
      </c>
      <c r="AO100" s="7">
        <f>StepperPower($F$17,$G$17,$H$17,$J$17,$K$17,$L$17,$C$2,$N$17,$Q100)</f>
        <v>0</v>
      </c>
      <c r="AP100" s="7" t="e">
        <f>StepperPower($F$18,$G$18,$H$18,$J$18,$K$18,$L$18,$C$2,$N$18,$Q100)</f>
        <v>#VALUE!</v>
      </c>
      <c r="AQ100" s="7" t="e">
        <f>StepperPower($F$19,$G$19,$H$19,$J$19,$K$19,$L$19,$C$2,$N$19,$Q100)</f>
        <v>#VALUE!</v>
      </c>
      <c r="AR100" s="7" t="e">
        <f>StepperPower($F$20,$G$20,$H$20,$J$20,$K$20,$L$20,$C$2,$N$20,$Q100)</f>
        <v>#VALUE!</v>
      </c>
      <c r="AS100" s="7" t="e">
        <f>StepperPower($F$21,$G$21,$H$21,$J$21,$K$21,$L$21,$C$2,$N$21,$Q100)</f>
        <v>#VALUE!</v>
      </c>
      <c r="AT100" s="7" t="e">
        <f>StepperPower($F$22,$G$22,$H$22,$J$22,$K$22,$L$22,$C$2,$N$22,$Q100)</f>
        <v>#VALUE!</v>
      </c>
      <c r="AU100" s="7" t="e">
        <f>StepperPower($F$23,$G$23,$H$23,$J$23,$K$23,$L$23,$C$2,$N$23,$Q100)</f>
        <v>#VALUE!</v>
      </c>
      <c r="AV100" s="7" t="e">
        <f>StepperPower($F$24,$G$24,$H$24,$J$24,$K$24,$L$24,$C$2,$N$24,$Q100)</f>
        <v>#VALUE!</v>
      </c>
      <c r="AW100" s="7" t="e">
        <f>StepperPower($F$25,$G$25,$H$25,$J$25,$K$25,$L$25,$C$2,$N$25,$Q100)</f>
        <v>#VALUE!</v>
      </c>
      <c r="AX100" s="7" t="e">
        <f>StepperPower($F$26,$G$26,$H$26,$J$26,$K$26,$L$26,$C$2,$N$26,$Q100)</f>
        <v>#VALUE!</v>
      </c>
      <c r="AY100" s="7" t="e">
        <f>StepperPower($F$27,$G$27,$H$27,$J$27,$K$27,$L$27,$C$2,$N$27,$Q100)</f>
        <v>#VALUE!</v>
      </c>
      <c r="AZ100" s="7" t="e">
        <f>StepperPower($F$28,$G$28,$H$28,$J$28,$K$28,$L$28,$C$2,$N$28,$Q100)</f>
        <v>#VALUE!</v>
      </c>
      <c r="BA100" s="7" t="e">
        <f>StepperPower($F$29,$G$29,$H$29,$J$29,$K$29,$L$29,$C$2,$N$29,$Q100)</f>
        <v>#VALUE!</v>
      </c>
      <c r="BB100" s="7" t="e">
        <f>StepperPower($F$30,$G$30,$H$30,$J$30,$K$30,$L$30,$C$2,$N$30,$Q100)</f>
        <v>#VALUE!</v>
      </c>
      <c r="BC100" s="7"/>
    </row>
    <row r="101" spans="17:55" x14ac:dyDescent="0.25">
      <c r="Q101">
        <f t="shared" si="11"/>
        <v>49</v>
      </c>
      <c r="R101">
        <f t="shared" si="8"/>
        <v>1960</v>
      </c>
      <c r="T101" s="7" cm="1">
        <f t="array" aca="1" ref="T101" ca="1">(_xlfn.SINGLE(SingleCoilTorque($F$15,$G$15,IF($I$15="",$H$15,INDEX(INDIRECT(_xlfn.CONCAT($I$15,"[Torque]")),MATCH(MIN(ABS(INDIRECT(_xlfn.CONCAT($I$15,"[RPM]"))-$R101*60/2/$C$6)),ABS(INDIRECT(_xlfn.CONCAT($I$15,"[RPM]"))-$R101*60/2/$C$6),0))*100),$J$15,$K$15,$L$15,$C$2,$N$15,$Q101))-$O$15)*$C$8</f>
        <v>-1.0997049350292316</v>
      </c>
      <c r="U101" s="7" cm="1">
        <f t="array" aca="1" ref="U101" ca="1">(_xlfn.SINGLE(SingleCoilTorque($F$16,$G$16,IF($I$16="",$H$16,INDEX(INDIRECT(_xlfn.CONCAT($I$16,"[Torque]")),MATCH(MIN(ABS(INDIRECT(_xlfn.CONCAT($I$16,"[RPM]"))-$R101*60/2/$C$6)),ABS(INDIRECT(_xlfn.CONCAT($I$16,"[RPM]"))-$R101*60/2/$C$6),0))*100),$J$16,$K$16,$L$16,$C$2,$N$16,$Q101))-$O$16)*$C$8</f>
        <v>2.4825325807096323</v>
      </c>
      <c r="V101" s="7" cm="1">
        <f t="array" aca="1" ref="V101" ca="1">(_xlfn.SINGLE(SingleCoilTorque($F$17,$G$17,IF($I$17="",$H$17,INDEX(INDIRECT(_xlfn.CONCAT($I$17,"[Torque]")),MATCH(MIN(ABS(INDIRECT(_xlfn.CONCAT($I$17,"[RPM]"))-$R101*60/2/$C$6)),ABS(INDIRECT(_xlfn.CONCAT($I$17,"[RPM]"))-$R101*60/2/$C$6),0))*100),$J$17,$K$17,$L$17,$C$2,$N$17,$Q101))-$O$17)*$C$8</f>
        <v>-6.1495246157322319</v>
      </c>
      <c r="W101" s="7" t="e" cm="1">
        <f t="array" aca="1" ref="W101" ca="1">(_xlfn.SINGLE(SingleCoilTorque($F$18,$G$18,IF($I$18="",$H$18,INDEX(INDIRECT(_xlfn.CONCAT($I$18,"[Torque]")),MATCH(MIN(ABS(INDIRECT(_xlfn.CONCAT($I$18,"[RPM]"))-$R101*60/2/$C$6)),ABS(INDIRECT(_xlfn.CONCAT($I$18,"[RPM]"))-$R101*60/2/$C$6),0))*100),$J$18,$K$18,$L$18,$C$2,$N$18,$Q101))-$O$18)*$C$8</f>
        <v>#VALUE!</v>
      </c>
      <c r="X101" s="7" t="e" cm="1">
        <f t="array" aca="1" ref="X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Y101" s="7" t="e" cm="1">
        <f t="array" aca="1" ref="Y101" ca="1">(_xlfn.SINGLE(SingleCoilTorque($F$20,$G$20,IF($I$20="",$H$20,INDEX(INDIRECT(_xlfn.CONCAT($I$20,"[Torque]")),MATCH(MIN(ABS(INDIRECT(_xlfn.CONCAT($I$20,"[RPM]"))-$R101*60/2/$C$6)),ABS(INDIRECT(_xlfn.CONCAT($I$20,"[RPM]"))-$R101*60/2/$C$6),0))*100),$J$20,$K$20,$L$20,$C$2,$N$20,$Q101))-$O$20)*$C$8</f>
        <v>#VALUE!</v>
      </c>
      <c r="Z101" s="7" t="e" cm="1">
        <f t="array" aca="1" ref="Z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A101" s="7" t="e" cm="1">
        <f t="array" aca="1" ref="AA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B101" s="7" t="e" cm="1">
        <f t="array" aca="1" ref="AB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C101" s="7" t="e" cm="1">
        <f t="array" aca="1" ref="AC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D101" s="7" t="e" cm="1">
        <f t="array" aca="1" ref="AD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E101" s="7" t="e" cm="1">
        <f t="array" aca="1" ref="AE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F101" s="7" t="e" cm="1">
        <f t="array" aca="1" ref="AF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G101" s="7" t="e" cm="1">
        <f t="array" aca="1" ref="AG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H101" s="7" t="e" cm="1">
        <f t="array" aca="1" ref="AH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I101" s="7" t="e" cm="1">
        <f t="array" aca="1" ref="AI101" ca="1">(_xlfn.SINGLE(SingleCoilTorque($F$19,$G$19,IF($I$19="",$H$19,INDEX(INDIRECT(_xlfn.CONCAT($I$19,"[Torque]")),MATCH(MIN(ABS(INDIRECT(_xlfn.CONCAT($I$19,"[RPM]"))-$R101*60/2/$C$6)),ABS(INDIRECT(_xlfn.CONCAT($I$19,"[RPM]"))-$R101*60/2/$C$6),0))*100),$J$19,$K$19,$L$19,$C$2,$N$19,$Q101))-$O$19)*$C$8</f>
        <v>#VALUE!</v>
      </c>
      <c r="AJ101" s="7">
        <f t="shared" si="9"/>
        <v>23.8732414637843</v>
      </c>
      <c r="AL101">
        <f t="shared" si="10"/>
        <v>1960</v>
      </c>
      <c r="AM101" s="7">
        <f>StepperPower($F$15,$G$15,$H$15,$J$15,$K$15,$L$15,$C$2,$N$15,$Q101)</f>
        <v>0</v>
      </c>
      <c r="AN101" s="7">
        <f>StepperPower($F$16,$G$16,$H$16,$J$16,$K$16,$L$16,$C$2,$N$16,$Q101)</f>
        <v>0</v>
      </c>
      <c r="AO101" s="7">
        <f>StepperPower($F$17,$G$17,$H$17,$J$17,$K$17,$L$17,$C$2,$N$17,$Q101)</f>
        <v>0</v>
      </c>
      <c r="AP101" s="7" t="e">
        <f>StepperPower($F$18,$G$18,$H$18,$J$18,$K$18,$L$18,$C$2,$N$18,$Q101)</f>
        <v>#VALUE!</v>
      </c>
      <c r="AQ101" s="7" t="e">
        <f>StepperPower($F$19,$G$19,$H$19,$J$19,$K$19,$L$19,$C$2,$N$19,$Q101)</f>
        <v>#VALUE!</v>
      </c>
      <c r="AR101" s="7" t="e">
        <f>StepperPower($F$20,$G$20,$H$20,$J$20,$K$20,$L$20,$C$2,$N$20,$Q101)</f>
        <v>#VALUE!</v>
      </c>
      <c r="AS101" s="7" t="e">
        <f>StepperPower($F$21,$G$21,$H$21,$J$21,$K$21,$L$21,$C$2,$N$21,$Q101)</f>
        <v>#VALUE!</v>
      </c>
      <c r="AT101" s="7" t="e">
        <f>StepperPower($F$22,$G$22,$H$22,$J$22,$K$22,$L$22,$C$2,$N$22,$Q101)</f>
        <v>#VALUE!</v>
      </c>
      <c r="AU101" s="7" t="e">
        <f>StepperPower($F$23,$G$23,$H$23,$J$23,$K$23,$L$23,$C$2,$N$23,$Q101)</f>
        <v>#VALUE!</v>
      </c>
      <c r="AV101" s="7" t="e">
        <f>StepperPower($F$24,$G$24,$H$24,$J$24,$K$24,$L$24,$C$2,$N$24,$Q101)</f>
        <v>#VALUE!</v>
      </c>
      <c r="AW101" s="7" t="e">
        <f>StepperPower($F$25,$G$25,$H$25,$J$25,$K$25,$L$25,$C$2,$N$25,$Q101)</f>
        <v>#VALUE!</v>
      </c>
      <c r="AX101" s="7" t="e">
        <f>StepperPower($F$26,$G$26,$H$26,$J$26,$K$26,$L$26,$C$2,$N$26,$Q101)</f>
        <v>#VALUE!</v>
      </c>
      <c r="AY101" s="7" t="e">
        <f>StepperPower($F$27,$G$27,$H$27,$J$27,$K$27,$L$27,$C$2,$N$27,$Q101)</f>
        <v>#VALUE!</v>
      </c>
      <c r="AZ101" s="7" t="e">
        <f>StepperPower($F$28,$G$28,$H$28,$J$28,$K$28,$L$28,$C$2,$N$28,$Q101)</f>
        <v>#VALUE!</v>
      </c>
      <c r="BA101" s="7" t="e">
        <f>StepperPower($F$29,$G$29,$H$29,$J$29,$K$29,$L$29,$C$2,$N$29,$Q101)</f>
        <v>#VALUE!</v>
      </c>
      <c r="BB101" s="7" t="e">
        <f>StepperPower($F$30,$G$30,$H$30,$J$30,$K$30,$L$30,$C$2,$N$30,$Q101)</f>
        <v>#VALUE!</v>
      </c>
      <c r="BC101" s="7"/>
    </row>
    <row r="102" spans="17:55" x14ac:dyDescent="0.25">
      <c r="Q102">
        <f t="shared" si="11"/>
        <v>49.5</v>
      </c>
      <c r="R102">
        <f t="shared" si="8"/>
        <v>1980</v>
      </c>
      <c r="T102" s="7" cm="1">
        <f t="array" aca="1" ref="T102" ca="1">(_xlfn.SINGLE(SingleCoilTorque($F$15,$G$15,IF($I$15="",$H$15,INDEX(INDIRECT(_xlfn.CONCAT($I$15,"[Torque]")),MATCH(MIN(ABS(INDIRECT(_xlfn.CONCAT($I$15,"[RPM]"))-$R102*60/2/$C$6)),ABS(INDIRECT(_xlfn.CONCAT($I$15,"[RPM]"))-$R102*60/2/$C$6),0))*100),$J$15,$K$15,$L$15,$C$2,$N$15,$Q102))-$O$15)*$C$8</f>
        <v>-1.2993364858718992</v>
      </c>
      <c r="U102" s="7" cm="1">
        <f t="array" aca="1" ref="U102" ca="1">(_xlfn.SINGLE(SingleCoilTorque($F$16,$G$16,IF($I$16="",$H$16,INDEX(INDIRECT(_xlfn.CONCAT($I$16,"[Torque]")),MATCH(MIN(ABS(INDIRECT(_xlfn.CONCAT($I$16,"[RPM]"))-$R102*60/2/$C$6)),ABS(INDIRECT(_xlfn.CONCAT($I$16,"[RPM]"))-$R102*60/2/$C$6),0))*100),$J$16,$K$16,$L$16,$C$2,$N$16,$Q102))-$O$16)*$C$8</f>
        <v>2.2802623267607816</v>
      </c>
      <c r="V102" s="7" cm="1">
        <f t="array" aca="1" ref="V102" ca="1">(_xlfn.SINGLE(SingleCoilTorque($F$17,$G$17,IF($I$17="",$H$17,INDEX(INDIRECT(_xlfn.CONCAT($I$17,"[Torque]")),MATCH(MIN(ABS(INDIRECT(_xlfn.CONCAT($I$17,"[RPM]"))-$R102*60/2/$C$6)),ABS(INDIRECT(_xlfn.CONCAT($I$17,"[RPM]"))-$R102*60/2/$C$6),0))*100),$J$17,$K$17,$L$17,$C$2,$N$17,$Q102))-$O$17)*$C$8</f>
        <v>-6.2805379531678414</v>
      </c>
      <c r="W102" s="7" t="e" cm="1">
        <f t="array" aca="1" ref="W102" ca="1">(_xlfn.SINGLE(SingleCoilTorque($F$18,$G$18,IF($I$18="",$H$18,INDEX(INDIRECT(_xlfn.CONCAT($I$18,"[Torque]")),MATCH(MIN(ABS(INDIRECT(_xlfn.CONCAT($I$18,"[RPM]"))-$R102*60/2/$C$6)),ABS(INDIRECT(_xlfn.CONCAT($I$18,"[RPM]"))-$R102*60/2/$C$6),0))*100),$J$18,$K$18,$L$18,$C$2,$N$18,$Q102))-$O$18)*$C$8</f>
        <v>#VALUE!</v>
      </c>
      <c r="X102" s="7" t="e" cm="1">
        <f t="array" aca="1" ref="X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Y102" s="7" t="e" cm="1">
        <f t="array" aca="1" ref="Y102" ca="1">(_xlfn.SINGLE(SingleCoilTorque($F$20,$G$20,IF($I$20="",$H$20,INDEX(INDIRECT(_xlfn.CONCAT($I$20,"[Torque]")),MATCH(MIN(ABS(INDIRECT(_xlfn.CONCAT($I$20,"[RPM]"))-$R102*60/2/$C$6)),ABS(INDIRECT(_xlfn.CONCAT($I$20,"[RPM]"))-$R102*60/2/$C$6),0))*100),$J$20,$K$20,$L$20,$C$2,$N$20,$Q102))-$O$20)*$C$8</f>
        <v>#VALUE!</v>
      </c>
      <c r="Z102" s="7" t="e" cm="1">
        <f t="array" aca="1" ref="Z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A102" s="7" t="e" cm="1">
        <f t="array" aca="1" ref="AA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B102" s="7" t="e" cm="1">
        <f t="array" aca="1" ref="AB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C102" s="7" t="e" cm="1">
        <f t="array" aca="1" ref="AC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D102" s="7" t="e" cm="1">
        <f t="array" aca="1" ref="AD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E102" s="7" t="e" cm="1">
        <f t="array" aca="1" ref="AE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F102" s="7" t="e" cm="1">
        <f t="array" aca="1" ref="AF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G102" s="7" t="e" cm="1">
        <f t="array" aca="1" ref="AG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H102" s="7" t="e" cm="1">
        <f t="array" aca="1" ref="AH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I102" s="7" t="e" cm="1">
        <f t="array" aca="1" ref="AI102" ca="1">(_xlfn.SINGLE(SingleCoilTorque($F$19,$G$19,IF($I$19="",$H$19,INDEX(INDIRECT(_xlfn.CONCAT($I$19,"[Torque]")),MATCH(MIN(ABS(INDIRECT(_xlfn.CONCAT($I$19,"[RPM]"))-$R102*60/2/$C$6)),ABS(INDIRECT(_xlfn.CONCAT($I$19,"[RPM]"))-$R102*60/2/$C$6),0))*100),$J$19,$K$19,$L$19,$C$2,$N$19,$Q102))-$O$19)*$C$8</f>
        <v>#VALUE!</v>
      </c>
      <c r="AJ102" s="7">
        <f t="shared" si="9"/>
        <v>23.8732414637843</v>
      </c>
      <c r="AL102">
        <f t="shared" si="10"/>
        <v>1980</v>
      </c>
      <c r="AM102" s="7">
        <f>StepperPower($F$15,$G$15,$H$15,$J$15,$K$15,$L$15,$C$2,$N$15,$Q102)</f>
        <v>0</v>
      </c>
      <c r="AN102" s="7">
        <f>StepperPower($F$16,$G$16,$H$16,$J$16,$K$16,$L$16,$C$2,$N$16,$Q102)</f>
        <v>0</v>
      </c>
      <c r="AO102" s="7">
        <f>StepperPower($F$17,$G$17,$H$17,$J$17,$K$17,$L$17,$C$2,$N$17,$Q102)</f>
        <v>0</v>
      </c>
      <c r="AP102" s="7" t="e">
        <f>StepperPower($F$18,$G$18,$H$18,$J$18,$K$18,$L$18,$C$2,$N$18,$Q102)</f>
        <v>#VALUE!</v>
      </c>
      <c r="AQ102" s="7" t="e">
        <f>StepperPower($F$19,$G$19,$H$19,$J$19,$K$19,$L$19,$C$2,$N$19,$Q102)</f>
        <v>#VALUE!</v>
      </c>
      <c r="AR102" s="7" t="e">
        <f>StepperPower($F$20,$G$20,$H$20,$J$20,$K$20,$L$20,$C$2,$N$20,$Q102)</f>
        <v>#VALUE!</v>
      </c>
      <c r="AS102" s="7" t="e">
        <f>StepperPower($F$21,$G$21,$H$21,$J$21,$K$21,$L$21,$C$2,$N$21,$Q102)</f>
        <v>#VALUE!</v>
      </c>
      <c r="AT102" s="7" t="e">
        <f>StepperPower($F$22,$G$22,$H$22,$J$22,$K$22,$L$22,$C$2,$N$22,$Q102)</f>
        <v>#VALUE!</v>
      </c>
      <c r="AU102" s="7" t="e">
        <f>StepperPower($F$23,$G$23,$H$23,$J$23,$K$23,$L$23,$C$2,$N$23,$Q102)</f>
        <v>#VALUE!</v>
      </c>
      <c r="AV102" s="7" t="e">
        <f>StepperPower($F$24,$G$24,$H$24,$J$24,$K$24,$L$24,$C$2,$N$24,$Q102)</f>
        <v>#VALUE!</v>
      </c>
      <c r="AW102" s="7" t="e">
        <f>StepperPower($F$25,$G$25,$H$25,$J$25,$K$25,$L$25,$C$2,$N$25,$Q102)</f>
        <v>#VALUE!</v>
      </c>
      <c r="AX102" s="7" t="e">
        <f>StepperPower($F$26,$G$26,$H$26,$J$26,$K$26,$L$26,$C$2,$N$26,$Q102)</f>
        <v>#VALUE!</v>
      </c>
      <c r="AY102" s="7" t="e">
        <f>StepperPower($F$27,$G$27,$H$27,$J$27,$K$27,$L$27,$C$2,$N$27,$Q102)</f>
        <v>#VALUE!</v>
      </c>
      <c r="AZ102" s="7" t="e">
        <f>StepperPower($F$28,$G$28,$H$28,$J$28,$K$28,$L$28,$C$2,$N$28,$Q102)</f>
        <v>#VALUE!</v>
      </c>
      <c r="BA102" s="7" t="e">
        <f>StepperPower($F$29,$G$29,$H$29,$J$29,$K$29,$L$29,$C$2,$N$29,$Q102)</f>
        <v>#VALUE!</v>
      </c>
      <c r="BB102" s="7" t="e">
        <f>StepperPower($F$30,$G$30,$H$30,$J$30,$K$30,$L$30,$C$2,$N$30,$Q102)</f>
        <v>#VALUE!</v>
      </c>
      <c r="BC102" s="7"/>
    </row>
    <row r="103" spans="17:55" x14ac:dyDescent="0.25">
      <c r="Q103" s="7"/>
    </row>
    <row r="104" spans="17:55" x14ac:dyDescent="0.25">
      <c r="Q104" s="7"/>
    </row>
    <row r="105" spans="17:55" x14ac:dyDescent="0.25">
      <c r="Q105" s="7"/>
    </row>
    <row r="106" spans="17:55" x14ac:dyDescent="0.25">
      <c r="Q106" s="7"/>
    </row>
    <row r="107" spans="17:55" x14ac:dyDescent="0.25">
      <c r="Q107" s="7"/>
    </row>
    <row r="108" spans="17:55" x14ac:dyDescent="0.25">
      <c r="Q108" s="7"/>
    </row>
    <row r="109" spans="17:55" x14ac:dyDescent="0.25">
      <c r="Q109" s="7"/>
    </row>
    <row r="110" spans="17:55" x14ac:dyDescent="0.25">
      <c r="Q110" s="7"/>
    </row>
    <row r="111" spans="17:55" x14ac:dyDescent="0.25">
      <c r="Q111" s="7"/>
    </row>
    <row r="112" spans="17:55" x14ac:dyDescent="0.25">
      <c r="Q112" s="7"/>
    </row>
    <row r="113" spans="17:17" x14ac:dyDescent="0.25">
      <c r="Q113" s="7"/>
    </row>
    <row r="114" spans="17:17" x14ac:dyDescent="0.25">
      <c r="Q114" s="7"/>
    </row>
    <row r="115" spans="17:17" x14ac:dyDescent="0.25">
      <c r="Q115" s="7"/>
    </row>
    <row r="116" spans="17:17" x14ac:dyDescent="0.25">
      <c r="Q116" s="7"/>
    </row>
    <row r="117" spans="17:17" x14ac:dyDescent="0.25">
      <c r="Q117" s="7"/>
    </row>
    <row r="118" spans="17:17" x14ac:dyDescent="0.25">
      <c r="Q118" s="7"/>
    </row>
    <row r="119" spans="17:17" x14ac:dyDescent="0.25">
      <c r="Q119" s="7"/>
    </row>
    <row r="120" spans="17:17" x14ac:dyDescent="0.25">
      <c r="Q120" s="7"/>
    </row>
    <row r="121" spans="17:17" x14ac:dyDescent="0.25">
      <c r="Q121" s="7"/>
    </row>
    <row r="122" spans="17:17" x14ac:dyDescent="0.25">
      <c r="Q122" s="7"/>
    </row>
    <row r="123" spans="17:17" x14ac:dyDescent="0.25">
      <c r="Q123" s="7"/>
    </row>
    <row r="124" spans="17:17" x14ac:dyDescent="0.25">
      <c r="Q124" s="7"/>
    </row>
    <row r="125" spans="17:17" x14ac:dyDescent="0.25">
      <c r="Q125" s="7"/>
    </row>
    <row r="126" spans="17:17" x14ac:dyDescent="0.25">
      <c r="Q126" s="7"/>
    </row>
    <row r="127" spans="17:17" x14ac:dyDescent="0.25">
      <c r="Q127" s="7"/>
    </row>
    <row r="128" spans="17:17" x14ac:dyDescent="0.25">
      <c r="Q128" s="7"/>
    </row>
    <row r="129" spans="3:17" x14ac:dyDescent="0.25">
      <c r="Q129" s="7"/>
    </row>
    <row r="130" spans="3:17" x14ac:dyDescent="0.25">
      <c r="Q130" s="7"/>
    </row>
    <row r="131" spans="3:17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</row>
    <row r="132" spans="3:17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</row>
    <row r="133" spans="3:17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</row>
    <row r="134" spans="3:17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</row>
    <row r="135" spans="3:17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</row>
    <row r="136" spans="3:17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</row>
    <row r="137" spans="3:17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</row>
    <row r="138" spans="3:17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</row>
    <row r="139" spans="3:17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</row>
    <row r="140" spans="3:17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</row>
    <row r="141" spans="3:17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</row>
    <row r="142" spans="3:17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</row>
    <row r="143" spans="3:17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</row>
    <row r="144" spans="3:17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</row>
    <row r="145" spans="3:16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</row>
    <row r="146" spans="3:16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</row>
    <row r="147" spans="3:16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</row>
    <row r="148" spans="3:16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</row>
    <row r="149" spans="3:16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</row>
    <row r="150" spans="3:16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</row>
    <row r="151" spans="3:16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</row>
    <row r="152" spans="3:16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</row>
    <row r="153" spans="3:16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</row>
    <row r="154" spans="3:16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</row>
    <row r="155" spans="3:16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</row>
    <row r="156" spans="3:16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</row>
    <row r="157" spans="3:16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</row>
    <row r="158" spans="3:16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</row>
    <row r="159" spans="3:16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</row>
    <row r="160" spans="3:16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</row>
    <row r="161" spans="3:16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</row>
    <row r="162" spans="3:16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</row>
    <row r="163" spans="3:16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</row>
    <row r="164" spans="3:16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</row>
    <row r="165" spans="3:16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</row>
    <row r="166" spans="3:16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</row>
    <row r="167" spans="3:16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3:16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3:16" x14ac:dyDescent="0.25"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</row>
  </sheetData>
  <phoneticPr fontId="2" type="noConversion"/>
  <conditionalFormatting sqref="D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4:I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4:I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4:M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AJ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B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C42:C57 E42:E49 C15:C30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48A2B-92D8-4540-837E-15C737429F01}">
  <sheetPr codeName="Sheet3"/>
  <dimension ref="A1:H125"/>
  <sheetViews>
    <sheetView workbookViewId="0">
      <selection activeCell="K12" sqref="K12"/>
    </sheetView>
  </sheetViews>
  <sheetFormatPr defaultRowHeight="15" x14ac:dyDescent="0.25"/>
  <cols>
    <col min="2" max="2" width="10.5703125" customWidth="1"/>
    <col min="5" max="5" width="9.42578125" customWidth="1"/>
    <col min="8" max="8" width="9.42578125" customWidth="1"/>
  </cols>
  <sheetData>
    <row r="1" spans="1:2" x14ac:dyDescent="0.25">
      <c r="A1" s="28">
        <v>2804</v>
      </c>
      <c r="B1" s="28"/>
    </row>
    <row r="2" spans="1:2" x14ac:dyDescent="0.25">
      <c r="A2" t="s">
        <v>215</v>
      </c>
      <c r="B2" t="s">
        <v>40</v>
      </c>
    </row>
    <row r="3" spans="1:2" x14ac:dyDescent="0.25">
      <c r="A3">
        <v>100</v>
      </c>
      <c r="B3">
        <v>0.28999999999999998</v>
      </c>
    </row>
    <row r="4" spans="1:2" x14ac:dyDescent="0.25">
      <c r="A4">
        <v>200</v>
      </c>
      <c r="B4">
        <v>0.29299999999999998</v>
      </c>
    </row>
    <row r="5" spans="1:2" x14ac:dyDescent="0.25">
      <c r="A5">
        <v>300</v>
      </c>
      <c r="B5">
        <v>0.29399999999999998</v>
      </c>
    </row>
    <row r="6" spans="1:2" x14ac:dyDescent="0.25">
      <c r="A6">
        <v>400</v>
      </c>
      <c r="B6">
        <v>0.29370000000000002</v>
      </c>
    </row>
    <row r="7" spans="1:2" x14ac:dyDescent="0.25">
      <c r="A7">
        <v>500</v>
      </c>
      <c r="B7">
        <v>0.29570000000000002</v>
      </c>
    </row>
    <row r="8" spans="1:2" x14ac:dyDescent="0.25">
      <c r="A8">
        <v>600</v>
      </c>
      <c r="B8">
        <v>0.29699999999999999</v>
      </c>
    </row>
    <row r="9" spans="1:2" x14ac:dyDescent="0.25">
      <c r="A9">
        <v>700</v>
      </c>
      <c r="B9">
        <v>0.30099999999999999</v>
      </c>
    </row>
    <row r="10" spans="1:2" x14ac:dyDescent="0.25">
      <c r="A10">
        <v>800</v>
      </c>
      <c r="B10">
        <v>0.307</v>
      </c>
    </row>
    <row r="11" spans="1:2" x14ac:dyDescent="0.25">
      <c r="A11">
        <v>900</v>
      </c>
      <c r="B11">
        <v>0.30980000000000002</v>
      </c>
    </row>
    <row r="12" spans="1:2" x14ac:dyDescent="0.25">
      <c r="A12">
        <v>1000</v>
      </c>
      <c r="B12">
        <v>0.313</v>
      </c>
    </row>
    <row r="13" spans="1:2" x14ac:dyDescent="0.25">
      <c r="A13">
        <v>1100</v>
      </c>
      <c r="B13">
        <v>0.3165</v>
      </c>
    </row>
    <row r="14" spans="1:2" x14ac:dyDescent="0.25">
      <c r="A14">
        <v>1200</v>
      </c>
      <c r="B14">
        <v>0.3155</v>
      </c>
    </row>
    <row r="15" spans="1:2" x14ac:dyDescent="0.25">
      <c r="A15">
        <v>1300</v>
      </c>
      <c r="B15">
        <v>0.312</v>
      </c>
    </row>
    <row r="19" spans="1:5" x14ac:dyDescent="0.25">
      <c r="A19" s="29" t="s">
        <v>233</v>
      </c>
      <c r="B19" s="29"/>
      <c r="C19" s="29"/>
      <c r="D19" s="29"/>
      <c r="E19" s="29"/>
    </row>
    <row r="20" spans="1:5" x14ac:dyDescent="0.25">
      <c r="A20" s="28" t="s">
        <v>217</v>
      </c>
      <c r="B20" s="28"/>
      <c r="D20" s="28" t="s">
        <v>218</v>
      </c>
      <c r="E20" s="28"/>
    </row>
    <row r="21" spans="1:5" x14ac:dyDescent="0.25">
      <c r="A21" t="s">
        <v>215</v>
      </c>
      <c r="B21" t="s">
        <v>40</v>
      </c>
      <c r="D21" t="s">
        <v>215</v>
      </c>
      <c r="E21" t="s">
        <v>40</v>
      </c>
    </row>
    <row r="22" spans="1:5" x14ac:dyDescent="0.25">
      <c r="A22">
        <v>100</v>
      </c>
      <c r="B22">
        <v>0.63</v>
      </c>
      <c r="D22">
        <v>100</v>
      </c>
      <c r="E22">
        <v>0.63</v>
      </c>
    </row>
    <row r="23" spans="1:5" x14ac:dyDescent="0.25">
      <c r="A23">
        <v>200</v>
      </c>
      <c r="B23">
        <v>0.62</v>
      </c>
      <c r="D23">
        <v>200</v>
      </c>
      <c r="E23">
        <v>0.625</v>
      </c>
    </row>
    <row r="24" spans="1:5" x14ac:dyDescent="0.25">
      <c r="A24">
        <v>300</v>
      </c>
      <c r="B24">
        <v>0.61199999999999999</v>
      </c>
      <c r="D24">
        <v>300</v>
      </c>
      <c r="E24">
        <v>0.61799999999999999</v>
      </c>
    </row>
    <row r="25" spans="1:5" x14ac:dyDescent="0.25">
      <c r="A25">
        <v>400</v>
      </c>
      <c r="B25">
        <v>0.61</v>
      </c>
      <c r="D25">
        <v>400</v>
      </c>
      <c r="E25">
        <v>0.61499999999999999</v>
      </c>
    </row>
    <row r="26" spans="1:5" x14ac:dyDescent="0.25">
      <c r="A26">
        <v>500</v>
      </c>
      <c r="B26">
        <v>0.59</v>
      </c>
      <c r="D26">
        <v>500</v>
      </c>
      <c r="E26">
        <v>0.61199999999999999</v>
      </c>
    </row>
    <row r="27" spans="1:5" x14ac:dyDescent="0.25">
      <c r="A27">
        <v>600</v>
      </c>
      <c r="B27">
        <v>0.56999999999999995</v>
      </c>
      <c r="D27">
        <v>600</v>
      </c>
      <c r="E27">
        <v>0.59</v>
      </c>
    </row>
    <row r="28" spans="1:5" x14ac:dyDescent="0.25">
      <c r="A28">
        <v>700</v>
      </c>
      <c r="B28">
        <v>0.53500000000000003</v>
      </c>
      <c r="D28">
        <v>700</v>
      </c>
      <c r="E28">
        <v>0.56000000000000005</v>
      </c>
    </row>
    <row r="29" spans="1:5" x14ac:dyDescent="0.25">
      <c r="A29">
        <v>800</v>
      </c>
      <c r="B29">
        <v>0.5</v>
      </c>
      <c r="D29">
        <v>800</v>
      </c>
      <c r="E29">
        <v>0.53</v>
      </c>
    </row>
    <row r="30" spans="1:5" x14ac:dyDescent="0.25">
      <c r="A30">
        <v>900</v>
      </c>
      <c r="B30">
        <v>0.47</v>
      </c>
      <c r="D30">
        <v>900</v>
      </c>
      <c r="E30">
        <v>0.5</v>
      </c>
    </row>
    <row r="31" spans="1:5" x14ac:dyDescent="0.25">
      <c r="A31">
        <v>1000</v>
      </c>
      <c r="B31">
        <v>0.435</v>
      </c>
      <c r="D31">
        <v>1000</v>
      </c>
      <c r="E31">
        <v>0.46500000000000002</v>
      </c>
    </row>
    <row r="32" spans="1:5" x14ac:dyDescent="0.25">
      <c r="A32">
        <v>1100</v>
      </c>
      <c r="B32">
        <v>0.4</v>
      </c>
      <c r="D32">
        <v>1100</v>
      </c>
      <c r="E32">
        <v>0.43</v>
      </c>
    </row>
    <row r="33" spans="1:5" x14ac:dyDescent="0.25">
      <c r="A33">
        <v>1200</v>
      </c>
      <c r="B33">
        <v>0.37</v>
      </c>
      <c r="D33">
        <v>1200</v>
      </c>
      <c r="E33">
        <v>0.4</v>
      </c>
    </row>
    <row r="34" spans="1:5" x14ac:dyDescent="0.25">
      <c r="A34">
        <v>1300</v>
      </c>
      <c r="B34">
        <v>0.34499999999999997</v>
      </c>
      <c r="D34">
        <v>1300</v>
      </c>
      <c r="E34">
        <v>0.375</v>
      </c>
    </row>
    <row r="35" spans="1:5" x14ac:dyDescent="0.25">
      <c r="A35">
        <v>1400</v>
      </c>
      <c r="B35">
        <v>0.32</v>
      </c>
      <c r="D35">
        <v>1400</v>
      </c>
      <c r="E35">
        <v>0.35</v>
      </c>
    </row>
    <row r="36" spans="1:5" x14ac:dyDescent="0.25">
      <c r="A36">
        <v>1500</v>
      </c>
      <c r="B36">
        <v>0.3</v>
      </c>
      <c r="D36">
        <v>1500</v>
      </c>
      <c r="E36">
        <v>0.33</v>
      </c>
    </row>
    <row r="37" spans="1:5" x14ac:dyDescent="0.25">
      <c r="A37">
        <v>1600</v>
      </c>
      <c r="B37">
        <v>0.28000000000000003</v>
      </c>
      <c r="D37">
        <v>1600</v>
      </c>
      <c r="E37">
        <v>0.315</v>
      </c>
    </row>
    <row r="38" spans="1:5" x14ac:dyDescent="0.25">
      <c r="A38">
        <v>1700</v>
      </c>
      <c r="B38">
        <v>0.255</v>
      </c>
      <c r="D38">
        <v>1700</v>
      </c>
      <c r="E38">
        <v>0.3</v>
      </c>
    </row>
    <row r="39" spans="1:5" x14ac:dyDescent="0.25">
      <c r="A39">
        <v>1800</v>
      </c>
      <c r="B39">
        <v>0.24</v>
      </c>
      <c r="D39">
        <v>1800</v>
      </c>
      <c r="E39">
        <v>0.28999999999999998</v>
      </c>
    </row>
    <row r="40" spans="1:5" x14ac:dyDescent="0.25">
      <c r="A40">
        <v>1900</v>
      </c>
      <c r="B40">
        <v>0.22500000000000001</v>
      </c>
      <c r="D40">
        <v>1900</v>
      </c>
      <c r="E40">
        <v>0.27800000000000002</v>
      </c>
    </row>
    <row r="41" spans="1:5" x14ac:dyDescent="0.25">
      <c r="A41">
        <v>2000</v>
      </c>
      <c r="B41">
        <v>0.215</v>
      </c>
      <c r="D41">
        <v>2000</v>
      </c>
      <c r="E41">
        <v>0.27</v>
      </c>
    </row>
    <row r="42" spans="1:5" x14ac:dyDescent="0.25">
      <c r="A42">
        <v>2100</v>
      </c>
      <c r="B42">
        <v>0.21</v>
      </c>
      <c r="D42">
        <v>2100</v>
      </c>
      <c r="E42">
        <v>0.26</v>
      </c>
    </row>
    <row r="43" spans="1:5" x14ac:dyDescent="0.25">
      <c r="A43">
        <v>2200</v>
      </c>
      <c r="B43">
        <v>0.20499999999999999</v>
      </c>
      <c r="D43">
        <v>2200</v>
      </c>
      <c r="E43">
        <v>0.252</v>
      </c>
    </row>
    <row r="44" spans="1:5" x14ac:dyDescent="0.25">
      <c r="A44">
        <v>2300</v>
      </c>
      <c r="B44">
        <v>0.2</v>
      </c>
      <c r="D44">
        <v>2300</v>
      </c>
      <c r="E44">
        <v>0.247</v>
      </c>
    </row>
    <row r="45" spans="1:5" x14ac:dyDescent="0.25">
      <c r="A45">
        <v>2400</v>
      </c>
      <c r="B45">
        <v>0.2</v>
      </c>
      <c r="D45">
        <v>2400</v>
      </c>
      <c r="E45">
        <v>0.24</v>
      </c>
    </row>
    <row r="48" spans="1:5" x14ac:dyDescent="0.25">
      <c r="A48" s="29" t="s">
        <v>227</v>
      </c>
      <c r="B48" s="29"/>
      <c r="C48" s="29"/>
      <c r="D48" s="29"/>
      <c r="E48" s="29"/>
    </row>
    <row r="49" spans="1:5" x14ac:dyDescent="0.25">
      <c r="A49" s="28" t="s">
        <v>228</v>
      </c>
      <c r="B49" s="28"/>
      <c r="D49" s="28" t="s">
        <v>229</v>
      </c>
      <c r="E49" s="28"/>
    </row>
    <row r="50" spans="1:5" x14ac:dyDescent="0.25">
      <c r="A50" t="s">
        <v>215</v>
      </c>
      <c r="B50" t="s">
        <v>40</v>
      </c>
      <c r="D50" t="s">
        <v>215</v>
      </c>
      <c r="E50" t="s">
        <v>40</v>
      </c>
    </row>
    <row r="51" spans="1:5" x14ac:dyDescent="0.25">
      <c r="A51">
        <v>100</v>
      </c>
      <c r="B51">
        <v>0.8</v>
      </c>
      <c r="D51">
        <v>100</v>
      </c>
      <c r="E51">
        <v>0.8</v>
      </c>
    </row>
    <row r="52" spans="1:5" x14ac:dyDescent="0.25">
      <c r="A52">
        <v>200</v>
      </c>
      <c r="B52">
        <v>0.76</v>
      </c>
      <c r="D52">
        <v>200</v>
      </c>
      <c r="E52">
        <v>0.77</v>
      </c>
    </row>
    <row r="53" spans="1:5" x14ac:dyDescent="0.25">
      <c r="A53">
        <v>300</v>
      </c>
      <c r="B53">
        <v>0.72499999999999998</v>
      </c>
      <c r="D53">
        <v>300</v>
      </c>
      <c r="E53">
        <v>0.73499999999999999</v>
      </c>
    </row>
    <row r="54" spans="1:5" x14ac:dyDescent="0.25">
      <c r="A54">
        <v>400</v>
      </c>
      <c r="B54">
        <v>0.68500000000000005</v>
      </c>
      <c r="D54">
        <v>400</v>
      </c>
      <c r="E54">
        <v>0.70499999999999996</v>
      </c>
    </row>
    <row r="55" spans="1:5" x14ac:dyDescent="0.25">
      <c r="A55">
        <v>500</v>
      </c>
      <c r="B55">
        <v>0.64</v>
      </c>
      <c r="D55">
        <v>500</v>
      </c>
      <c r="E55">
        <v>0.67200000000000004</v>
      </c>
    </row>
    <row r="56" spans="1:5" x14ac:dyDescent="0.25">
      <c r="A56">
        <v>600</v>
      </c>
      <c r="B56">
        <v>0.57799999999999996</v>
      </c>
      <c r="D56">
        <v>600</v>
      </c>
      <c r="E56">
        <v>0.62</v>
      </c>
    </row>
    <row r="57" spans="1:5" x14ac:dyDescent="0.25">
      <c r="A57">
        <v>700</v>
      </c>
      <c r="B57">
        <v>0.53500000000000003</v>
      </c>
      <c r="D57">
        <v>700</v>
      </c>
      <c r="E57">
        <v>0.57499999999999996</v>
      </c>
    </row>
    <row r="58" spans="1:5" x14ac:dyDescent="0.25">
      <c r="A58">
        <v>800</v>
      </c>
      <c r="B58">
        <v>0.49</v>
      </c>
      <c r="D58">
        <v>800</v>
      </c>
      <c r="E58">
        <v>0.53</v>
      </c>
    </row>
    <row r="59" spans="1:5" x14ac:dyDescent="0.25">
      <c r="A59">
        <v>900</v>
      </c>
      <c r="B59">
        <v>0.45</v>
      </c>
      <c r="D59">
        <v>900</v>
      </c>
      <c r="E59">
        <v>0.49199999999999999</v>
      </c>
    </row>
    <row r="60" spans="1:5" x14ac:dyDescent="0.25">
      <c r="A60">
        <v>1000</v>
      </c>
      <c r="B60">
        <v>0.4</v>
      </c>
      <c r="D60">
        <v>1000</v>
      </c>
      <c r="E60">
        <v>0.44500000000000001</v>
      </c>
    </row>
    <row r="61" spans="1:5" x14ac:dyDescent="0.25">
      <c r="A61">
        <v>1100</v>
      </c>
      <c r="B61">
        <v>0.35499999999999998</v>
      </c>
      <c r="D61">
        <v>1100</v>
      </c>
      <c r="E61">
        <v>0.40200000000000002</v>
      </c>
    </row>
    <row r="62" spans="1:5" x14ac:dyDescent="0.25">
      <c r="A62">
        <v>1200</v>
      </c>
      <c r="B62">
        <v>0.317</v>
      </c>
      <c r="D62">
        <v>1200</v>
      </c>
      <c r="E62">
        <v>0.37</v>
      </c>
    </row>
    <row r="63" spans="1:5" x14ac:dyDescent="0.25">
      <c r="A63">
        <v>1300</v>
      </c>
      <c r="B63">
        <v>0.29499999999999998</v>
      </c>
      <c r="D63">
        <v>1300</v>
      </c>
      <c r="E63">
        <v>0.35099999999999998</v>
      </c>
    </row>
    <row r="64" spans="1:5" x14ac:dyDescent="0.25">
      <c r="A64">
        <v>1400</v>
      </c>
      <c r="B64">
        <v>0.28199999999999997</v>
      </c>
      <c r="D64">
        <v>1400</v>
      </c>
      <c r="E64">
        <v>0.34</v>
      </c>
    </row>
    <row r="65" spans="1:5" x14ac:dyDescent="0.25">
      <c r="A65">
        <v>1500</v>
      </c>
      <c r="B65">
        <v>0.27</v>
      </c>
      <c r="D65">
        <v>1500</v>
      </c>
      <c r="E65">
        <v>0.33</v>
      </c>
    </row>
    <row r="66" spans="1:5" x14ac:dyDescent="0.25">
      <c r="A66">
        <v>1600</v>
      </c>
      <c r="B66">
        <v>0.255</v>
      </c>
      <c r="D66">
        <v>1600</v>
      </c>
      <c r="E66">
        <v>0.315</v>
      </c>
    </row>
    <row r="67" spans="1:5" x14ac:dyDescent="0.25">
      <c r="A67">
        <v>1700</v>
      </c>
      <c r="B67">
        <v>0.24199999999999999</v>
      </c>
      <c r="D67">
        <v>1700</v>
      </c>
      <c r="E67">
        <v>0.29499999999999998</v>
      </c>
    </row>
    <row r="68" spans="1:5" x14ac:dyDescent="0.25">
      <c r="A68">
        <v>1800</v>
      </c>
      <c r="B68">
        <v>0.23</v>
      </c>
      <c r="D68">
        <v>1800</v>
      </c>
      <c r="E68">
        <v>0.28000000000000003</v>
      </c>
    </row>
    <row r="69" spans="1:5" x14ac:dyDescent="0.25">
      <c r="A69">
        <v>1900</v>
      </c>
      <c r="B69">
        <v>0.21</v>
      </c>
      <c r="D69">
        <v>1900</v>
      </c>
      <c r="E69">
        <v>0.26500000000000001</v>
      </c>
    </row>
    <row r="70" spans="1:5" x14ac:dyDescent="0.25">
      <c r="A70">
        <v>2000</v>
      </c>
      <c r="B70">
        <v>0.19500000000000001</v>
      </c>
      <c r="D70">
        <v>2000</v>
      </c>
      <c r="E70">
        <v>0.25</v>
      </c>
    </row>
    <row r="71" spans="1:5" x14ac:dyDescent="0.25">
      <c r="A71">
        <v>2100</v>
      </c>
      <c r="B71">
        <v>0.18</v>
      </c>
      <c r="D71">
        <v>2100</v>
      </c>
      <c r="E71">
        <v>0.24</v>
      </c>
    </row>
    <row r="72" spans="1:5" x14ac:dyDescent="0.25">
      <c r="A72">
        <v>2200</v>
      </c>
      <c r="B72">
        <v>0.17699999999999999</v>
      </c>
      <c r="D72">
        <v>2200</v>
      </c>
      <c r="E72">
        <v>0.23499999999999999</v>
      </c>
    </row>
    <row r="73" spans="1:5" x14ac:dyDescent="0.25">
      <c r="A73">
        <v>2300</v>
      </c>
      <c r="B73">
        <v>0.18</v>
      </c>
      <c r="D73">
        <v>2300</v>
      </c>
      <c r="E73">
        <v>0.23100000000000001</v>
      </c>
    </row>
    <row r="74" spans="1:5" x14ac:dyDescent="0.25">
      <c r="A74">
        <v>2400</v>
      </c>
      <c r="B74">
        <v>0.18</v>
      </c>
      <c r="D74">
        <v>2400</v>
      </c>
      <c r="E74">
        <v>0.23</v>
      </c>
    </row>
    <row r="81" spans="1:2" x14ac:dyDescent="0.25">
      <c r="A81" s="28">
        <v>2504</v>
      </c>
      <c r="B81" s="28"/>
    </row>
    <row r="82" spans="1:2" x14ac:dyDescent="0.25">
      <c r="A82" t="s">
        <v>215</v>
      </c>
      <c r="B82" t="s">
        <v>40</v>
      </c>
    </row>
    <row r="83" spans="1:2" x14ac:dyDescent="0.25">
      <c r="A83">
        <v>60</v>
      </c>
      <c r="B83">
        <v>0.441</v>
      </c>
    </row>
    <row r="84" spans="1:2" x14ac:dyDescent="0.25">
      <c r="A84">
        <v>120</v>
      </c>
      <c r="B84">
        <v>0.44500000000000001</v>
      </c>
    </row>
    <row r="85" spans="1:2" x14ac:dyDescent="0.25">
      <c r="A85">
        <v>180</v>
      </c>
      <c r="B85">
        <v>0.45900000000000002</v>
      </c>
    </row>
    <row r="86" spans="1:2" x14ac:dyDescent="0.25">
      <c r="A86">
        <v>240</v>
      </c>
      <c r="B86">
        <v>0.47199999999999998</v>
      </c>
    </row>
    <row r="87" spans="1:2" x14ac:dyDescent="0.25">
      <c r="A87">
        <v>300</v>
      </c>
      <c r="B87">
        <v>0.48599999999999999</v>
      </c>
    </row>
    <row r="88" spans="1:2" x14ac:dyDescent="0.25">
      <c r="A88">
        <v>360</v>
      </c>
      <c r="B88">
        <v>0.501</v>
      </c>
    </row>
    <row r="89" spans="1:2" x14ac:dyDescent="0.25">
      <c r="A89">
        <v>420</v>
      </c>
      <c r="B89">
        <v>0.51100000000000001</v>
      </c>
    </row>
    <row r="90" spans="1:2" x14ac:dyDescent="0.25">
      <c r="A90">
        <v>480</v>
      </c>
      <c r="B90">
        <v>0.52</v>
      </c>
    </row>
    <row r="91" spans="1:2" x14ac:dyDescent="0.25">
      <c r="A91">
        <v>540</v>
      </c>
      <c r="B91">
        <v>0.52500000000000002</v>
      </c>
    </row>
    <row r="92" spans="1:2" x14ac:dyDescent="0.25">
      <c r="A92">
        <v>600</v>
      </c>
      <c r="B92">
        <v>0.52</v>
      </c>
    </row>
    <row r="93" spans="1:2" x14ac:dyDescent="0.25">
      <c r="A93">
        <v>660</v>
      </c>
      <c r="B93">
        <v>0.51100000000000001</v>
      </c>
    </row>
    <row r="94" spans="1:2" x14ac:dyDescent="0.25">
      <c r="A94">
        <v>720</v>
      </c>
      <c r="B94">
        <v>0.48699999999999999</v>
      </c>
    </row>
    <row r="95" spans="1:2" x14ac:dyDescent="0.25">
      <c r="A95">
        <v>780</v>
      </c>
      <c r="B95">
        <v>0.46</v>
      </c>
    </row>
    <row r="96" spans="1:2" x14ac:dyDescent="0.25">
      <c r="A96">
        <v>840</v>
      </c>
      <c r="B96">
        <v>0.432</v>
      </c>
    </row>
    <row r="97" spans="1:8" x14ac:dyDescent="0.25">
      <c r="A97">
        <v>900</v>
      </c>
      <c r="B97">
        <v>0.40500000000000003</v>
      </c>
    </row>
    <row r="98" spans="1:8" x14ac:dyDescent="0.25">
      <c r="A98">
        <v>960</v>
      </c>
      <c r="B98">
        <v>0.38100000000000001</v>
      </c>
    </row>
    <row r="99" spans="1:8" x14ac:dyDescent="0.25">
      <c r="A99">
        <v>1020</v>
      </c>
      <c r="B99">
        <v>0.36099999999999999</v>
      </c>
    </row>
    <row r="100" spans="1:8" x14ac:dyDescent="0.25">
      <c r="A100">
        <v>1080</v>
      </c>
      <c r="B100">
        <v>0.34499999999999997</v>
      </c>
    </row>
    <row r="101" spans="1:8" x14ac:dyDescent="0.25">
      <c r="A101">
        <v>1140</v>
      </c>
      <c r="B101">
        <v>0.32500000000000001</v>
      </c>
    </row>
    <row r="102" spans="1:8" x14ac:dyDescent="0.25">
      <c r="A102">
        <v>1200</v>
      </c>
      <c r="B102">
        <v>0.31</v>
      </c>
    </row>
    <row r="104" spans="1:8" x14ac:dyDescent="0.25">
      <c r="A104" s="28" t="s">
        <v>223</v>
      </c>
      <c r="B104" s="28"/>
      <c r="D104" s="28" t="s">
        <v>224</v>
      </c>
      <c r="E104" s="28"/>
      <c r="G104" s="28" t="s">
        <v>225</v>
      </c>
      <c r="H104" s="28"/>
    </row>
    <row r="105" spans="1:8" x14ac:dyDescent="0.25">
      <c r="A105" t="s">
        <v>215</v>
      </c>
      <c r="B105" s="27" t="s">
        <v>40</v>
      </c>
      <c r="D105" t="s">
        <v>215</v>
      </c>
      <c r="E105" s="27" t="s">
        <v>40</v>
      </c>
      <c r="G105" t="s">
        <v>215</v>
      </c>
      <c r="H105" s="27" t="s">
        <v>40</v>
      </c>
    </row>
    <row r="106" spans="1:8" x14ac:dyDescent="0.25">
      <c r="A106">
        <v>60</v>
      </c>
      <c r="B106">
        <v>0.53900000000000003</v>
      </c>
      <c r="D106">
        <v>60</v>
      </c>
      <c r="E106">
        <v>0.52900000000000003</v>
      </c>
      <c r="G106">
        <v>60</v>
      </c>
      <c r="H106">
        <v>0.52900000000000003</v>
      </c>
    </row>
    <row r="107" spans="1:8" x14ac:dyDescent="0.25">
      <c r="A107">
        <v>120</v>
      </c>
      <c r="B107">
        <v>0.55700000000000005</v>
      </c>
      <c r="D107">
        <v>120</v>
      </c>
      <c r="E107">
        <v>0.54700000000000004</v>
      </c>
      <c r="G107">
        <v>120</v>
      </c>
      <c r="H107">
        <v>0.54400000000000004</v>
      </c>
    </row>
    <row r="108" spans="1:8" x14ac:dyDescent="0.25">
      <c r="A108">
        <v>180</v>
      </c>
      <c r="B108">
        <v>0.57499999999999996</v>
      </c>
      <c r="D108">
        <v>180</v>
      </c>
      <c r="E108">
        <v>0.56999999999999995</v>
      </c>
      <c r="G108">
        <v>180</v>
      </c>
      <c r="H108">
        <v>0.56999999999999995</v>
      </c>
    </row>
    <row r="109" spans="1:8" x14ac:dyDescent="0.25">
      <c r="A109">
        <v>240</v>
      </c>
      <c r="B109">
        <v>0.6</v>
      </c>
      <c r="D109">
        <v>240</v>
      </c>
      <c r="E109">
        <v>0.59199999999999997</v>
      </c>
      <c r="G109">
        <v>240</v>
      </c>
      <c r="H109">
        <v>0.58699999999999997</v>
      </c>
    </row>
    <row r="110" spans="1:8" x14ac:dyDescent="0.25">
      <c r="A110">
        <v>300</v>
      </c>
      <c r="B110">
        <v>0.62</v>
      </c>
      <c r="D110">
        <v>300</v>
      </c>
      <c r="E110">
        <v>0.60499999999999998</v>
      </c>
      <c r="G110">
        <v>300</v>
      </c>
      <c r="H110">
        <v>0.60499999999999998</v>
      </c>
    </row>
    <row r="111" spans="1:8" x14ac:dyDescent="0.25">
      <c r="A111">
        <v>360</v>
      </c>
      <c r="B111">
        <v>0.64500000000000002</v>
      </c>
      <c r="D111">
        <v>360</v>
      </c>
      <c r="E111">
        <v>0.625</v>
      </c>
      <c r="G111">
        <v>360</v>
      </c>
      <c r="H111">
        <v>0.628</v>
      </c>
    </row>
    <row r="112" spans="1:8" x14ac:dyDescent="0.25">
      <c r="A112">
        <v>420</v>
      </c>
      <c r="B112">
        <v>0.64800000000000002</v>
      </c>
      <c r="D112">
        <v>420</v>
      </c>
      <c r="E112">
        <v>0.64300000000000002</v>
      </c>
      <c r="G112">
        <v>420</v>
      </c>
      <c r="H112">
        <v>0.65100000000000002</v>
      </c>
    </row>
    <row r="113" spans="1:8" x14ac:dyDescent="0.25">
      <c r="A113">
        <v>480</v>
      </c>
      <c r="B113">
        <v>0.62</v>
      </c>
      <c r="D113">
        <v>480</v>
      </c>
      <c r="E113">
        <v>0.65800000000000003</v>
      </c>
      <c r="G113">
        <v>480</v>
      </c>
      <c r="H113">
        <v>0.65300000000000002</v>
      </c>
    </row>
    <row r="114" spans="1:8" x14ac:dyDescent="0.25">
      <c r="A114">
        <v>540</v>
      </c>
      <c r="B114">
        <v>0.58699999999999997</v>
      </c>
      <c r="D114">
        <v>540</v>
      </c>
      <c r="E114">
        <v>0.67100000000000004</v>
      </c>
      <c r="G114">
        <v>540</v>
      </c>
      <c r="H114">
        <v>0.66800000000000004</v>
      </c>
    </row>
    <row r="115" spans="1:8" x14ac:dyDescent="0.25">
      <c r="A115">
        <v>600</v>
      </c>
      <c r="B115">
        <v>0.54900000000000004</v>
      </c>
      <c r="D115">
        <v>600</v>
      </c>
      <c r="E115">
        <v>0.69599999999999995</v>
      </c>
      <c r="G115">
        <v>600</v>
      </c>
      <c r="H115">
        <v>0.69399999999999995</v>
      </c>
    </row>
    <row r="116" spans="1:8" x14ac:dyDescent="0.25">
      <c r="A116">
        <v>660</v>
      </c>
      <c r="B116">
        <v>0.50900000000000001</v>
      </c>
      <c r="D116">
        <v>660</v>
      </c>
      <c r="E116">
        <v>0.70599999999999996</v>
      </c>
      <c r="G116">
        <v>660</v>
      </c>
      <c r="H116">
        <v>0.70599999999999996</v>
      </c>
    </row>
    <row r="117" spans="1:8" x14ac:dyDescent="0.25">
      <c r="A117">
        <v>720</v>
      </c>
      <c r="B117">
        <v>0.47099999999999997</v>
      </c>
      <c r="D117">
        <v>720</v>
      </c>
      <c r="E117">
        <v>0.72099999999999997</v>
      </c>
      <c r="G117">
        <v>720</v>
      </c>
      <c r="H117">
        <v>0.72099999999999997</v>
      </c>
    </row>
    <row r="118" spans="1:8" x14ac:dyDescent="0.25">
      <c r="A118">
        <v>780</v>
      </c>
      <c r="B118">
        <v>0.44600000000000001</v>
      </c>
      <c r="D118">
        <v>780</v>
      </c>
      <c r="E118">
        <v>0.73199999999999998</v>
      </c>
      <c r="G118">
        <v>780</v>
      </c>
      <c r="H118">
        <v>0.74399999999999999</v>
      </c>
    </row>
    <row r="119" spans="1:8" x14ac:dyDescent="0.25">
      <c r="A119">
        <v>840</v>
      </c>
      <c r="B119">
        <v>0.40799999999999997</v>
      </c>
      <c r="D119">
        <v>840</v>
      </c>
      <c r="E119">
        <v>0.72099999999999997</v>
      </c>
      <c r="G119">
        <v>840</v>
      </c>
      <c r="H119">
        <v>0.747</v>
      </c>
    </row>
    <row r="120" spans="1:8" x14ac:dyDescent="0.25">
      <c r="A120">
        <v>900</v>
      </c>
      <c r="B120">
        <v>0.38</v>
      </c>
      <c r="D120">
        <v>900</v>
      </c>
      <c r="E120">
        <v>0.70099999999999996</v>
      </c>
      <c r="G120">
        <v>900</v>
      </c>
      <c r="H120">
        <v>0.752</v>
      </c>
    </row>
    <row r="121" spans="1:8" x14ac:dyDescent="0.25">
      <c r="A121">
        <v>960</v>
      </c>
      <c r="B121">
        <v>0.35399999999999998</v>
      </c>
      <c r="D121">
        <v>960</v>
      </c>
      <c r="E121">
        <v>0.68100000000000005</v>
      </c>
      <c r="G121">
        <v>960</v>
      </c>
      <c r="H121">
        <v>0.749</v>
      </c>
    </row>
    <row r="122" spans="1:8" x14ac:dyDescent="0.25">
      <c r="A122">
        <v>1020</v>
      </c>
      <c r="B122">
        <v>0.33900000000000002</v>
      </c>
      <c r="D122">
        <v>1020</v>
      </c>
      <c r="E122">
        <v>0.65600000000000003</v>
      </c>
      <c r="G122">
        <v>1020</v>
      </c>
      <c r="H122">
        <v>0.74399999999999999</v>
      </c>
    </row>
    <row r="123" spans="1:8" x14ac:dyDescent="0.25">
      <c r="A123">
        <v>1080</v>
      </c>
      <c r="B123">
        <v>0.314</v>
      </c>
      <c r="D123">
        <v>1080</v>
      </c>
      <c r="E123">
        <v>0.628</v>
      </c>
      <c r="G123">
        <v>1080</v>
      </c>
      <c r="H123">
        <v>0.72399999999999998</v>
      </c>
    </row>
    <row r="124" spans="1:8" x14ac:dyDescent="0.25">
      <c r="A124">
        <v>1140</v>
      </c>
      <c r="B124">
        <v>0.29899999999999999</v>
      </c>
      <c r="D124">
        <v>1140</v>
      </c>
      <c r="E124">
        <v>0.6</v>
      </c>
      <c r="G124">
        <v>1140</v>
      </c>
      <c r="H124">
        <v>0.71399999999999997</v>
      </c>
    </row>
    <row r="125" spans="1:8" x14ac:dyDescent="0.25">
      <c r="A125">
        <v>1200</v>
      </c>
      <c r="B125">
        <v>0.28599999999999998</v>
      </c>
      <c r="D125">
        <v>1200</v>
      </c>
      <c r="E125">
        <v>0.57199999999999995</v>
      </c>
      <c r="G125">
        <v>1200</v>
      </c>
      <c r="H125">
        <v>0.68899999999999995</v>
      </c>
    </row>
  </sheetData>
  <mergeCells count="11">
    <mergeCell ref="G104:H104"/>
    <mergeCell ref="A19:E19"/>
    <mergeCell ref="A48:E48"/>
    <mergeCell ref="A49:B49"/>
    <mergeCell ref="D49:E49"/>
    <mergeCell ref="A1:B1"/>
    <mergeCell ref="A20:B20"/>
    <mergeCell ref="D20:E20"/>
    <mergeCell ref="A81:B81"/>
    <mergeCell ref="A104:B104"/>
    <mergeCell ref="D104:E104"/>
  </mergeCells>
  <pageMargins left="0.7" right="0.7" top="0.75" bottom="0.75" header="0.3" footer="0.3"/>
  <drawing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R77"/>
  <sheetViews>
    <sheetView zoomScale="115" zoomScaleNormal="115" workbookViewId="0">
      <pane xSplit="8" ySplit="13" topLeftCell="I59" activePane="bottomRight" state="frozen"/>
      <selection pane="topRight" activeCell="I1" sqref="I1"/>
      <selection pane="bottomLeft" activeCell="A14" sqref="A14"/>
      <selection pane="bottomRight" activeCell="L78" sqref="L78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0" customWidth="1"/>
    <col min="5" max="12" width="8.7109375" style="4" customWidth="1"/>
    <col min="13" max="13" width="11.42578125" style="4" bestFit="1" customWidth="1"/>
    <col min="15" max="15" width="6.85546875" bestFit="1" customWidth="1"/>
    <col min="16" max="16" width="7" bestFit="1" customWidth="1"/>
    <col min="18" max="18" width="11.42578125" style="2"/>
  </cols>
  <sheetData>
    <row r="2" spans="1:17" ht="45" x14ac:dyDescent="0.25">
      <c r="B2" s="5" t="s">
        <v>13</v>
      </c>
      <c r="C2" s="5" t="s">
        <v>2</v>
      </c>
      <c r="D2" s="19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214</v>
      </c>
      <c r="M2" s="5" t="s">
        <v>102</v>
      </c>
      <c r="N2" s="5" t="s">
        <v>179</v>
      </c>
      <c r="O2" s="6"/>
      <c r="P2" s="6"/>
    </row>
    <row r="3" spans="1:17" x14ac:dyDescent="0.25">
      <c r="A3" t="str">
        <f t="shared" ref="A3:A8" si="0">CONCATENATE(B3,"-",C3)</f>
        <v>FYSETC-35HSH7402-24B-400A</v>
      </c>
      <c r="B3" s="4" t="s">
        <v>112</v>
      </c>
      <c r="C3" s="4" t="s">
        <v>114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M3" s="4" t="s">
        <v>119</v>
      </c>
      <c r="O3" s="9" t="s">
        <v>115</v>
      </c>
    </row>
    <row r="4" spans="1:17" x14ac:dyDescent="0.25">
      <c r="A4" t="str">
        <f t="shared" si="0"/>
        <v>FYSETC-42HSC1404B-200N8</v>
      </c>
      <c r="B4" s="4" t="s">
        <v>112</v>
      </c>
      <c r="C4" s="4" t="s">
        <v>113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M4" s="4" t="s">
        <v>118</v>
      </c>
      <c r="O4" s="9" t="s">
        <v>111</v>
      </c>
    </row>
    <row r="5" spans="1:17" x14ac:dyDescent="0.25">
      <c r="A5" t="str">
        <f t="shared" si="0"/>
        <v>FYSETC-G36HSY4407-6D-550</v>
      </c>
      <c r="B5" s="4" t="s">
        <v>112</v>
      </c>
      <c r="C5" s="4" t="s">
        <v>116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M5" s="4" t="s">
        <v>120</v>
      </c>
      <c r="O5" t="s">
        <v>117</v>
      </c>
      <c r="P5">
        <v>0.7</v>
      </c>
      <c r="Q5">
        <f>P5^2*J5</f>
        <v>6.3699999999999992</v>
      </c>
    </row>
    <row r="6" spans="1:17" x14ac:dyDescent="0.25">
      <c r="A6" t="str">
        <f t="shared" si="0"/>
        <v>FYSETC-MSM-30010-R0005</v>
      </c>
      <c r="B6" s="4" t="s">
        <v>112</v>
      </c>
      <c r="C6" s="4" t="s">
        <v>124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M6" s="4" t="s">
        <v>126</v>
      </c>
      <c r="O6" t="s">
        <v>125</v>
      </c>
    </row>
    <row r="7" spans="1:17" x14ac:dyDescent="0.25">
      <c r="A7" t="str">
        <f t="shared" si="0"/>
        <v>FYSETC-TB-3544</v>
      </c>
      <c r="B7" s="4" t="s">
        <v>112</v>
      </c>
      <c r="C7" s="4" t="s">
        <v>122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M7" s="4" t="s">
        <v>123</v>
      </c>
      <c r="O7" t="s">
        <v>121</v>
      </c>
    </row>
    <row r="8" spans="1:17" x14ac:dyDescent="0.25">
      <c r="A8" t="str">
        <f t="shared" si="0"/>
        <v>FYSETC-17HS19-2004S-C</v>
      </c>
      <c r="B8" s="4" t="s">
        <v>112</v>
      </c>
      <c r="C8" s="4" t="s">
        <v>169</v>
      </c>
      <c r="D8" s="20">
        <v>17</v>
      </c>
      <c r="E8" s="4">
        <v>48</v>
      </c>
      <c r="F8" s="4">
        <v>1.8</v>
      </c>
      <c r="G8" s="4">
        <v>2</v>
      </c>
      <c r="H8" s="4">
        <v>59</v>
      </c>
      <c r="I8" s="4">
        <v>3</v>
      </c>
      <c r="J8" s="4">
        <v>1.4</v>
      </c>
      <c r="K8" s="4">
        <v>82</v>
      </c>
    </row>
    <row r="9" spans="1:17" x14ac:dyDescent="0.25">
      <c r="A9" t="str">
        <f t="shared" ref="A9:A40" si="1">CONCATENATE(B9,"-",C9)</f>
        <v>Hanpose-23HS4128</v>
      </c>
      <c r="B9" s="4" t="s">
        <v>163</v>
      </c>
      <c r="C9" s="4" t="s">
        <v>164</v>
      </c>
      <c r="D9" s="20">
        <v>23</v>
      </c>
      <c r="E9" s="4">
        <v>41</v>
      </c>
      <c r="F9" s="4">
        <v>1.8</v>
      </c>
      <c r="G9" s="4">
        <v>2.8</v>
      </c>
      <c r="H9" s="4">
        <v>55</v>
      </c>
      <c r="I9" s="4">
        <v>1.4</v>
      </c>
      <c r="J9" s="4">
        <v>0.7</v>
      </c>
      <c r="K9" s="4">
        <v>120</v>
      </c>
    </row>
    <row r="10" spans="1:17" x14ac:dyDescent="0.25">
      <c r="A10" t="str">
        <f t="shared" si="1"/>
        <v>LDO-35STH48-1504AH(VRN)</v>
      </c>
      <c r="B10" s="4" t="s">
        <v>15</v>
      </c>
      <c r="C10" s="4" t="s">
        <v>150</v>
      </c>
      <c r="D10" s="20">
        <v>14</v>
      </c>
      <c r="E10" s="4">
        <v>52</v>
      </c>
      <c r="F10" s="4">
        <v>1.8</v>
      </c>
      <c r="G10" s="4">
        <v>1.5</v>
      </c>
      <c r="H10" s="4">
        <v>37</v>
      </c>
      <c r="I10" s="4">
        <v>3.8</v>
      </c>
      <c r="J10" s="4">
        <v>2.8</v>
      </c>
      <c r="K10" s="4">
        <v>51.8</v>
      </c>
      <c r="M10" s="4" t="s">
        <v>151</v>
      </c>
    </row>
    <row r="11" spans="1:17" x14ac:dyDescent="0.25">
      <c r="A11" t="str">
        <f t="shared" si="1"/>
        <v>LDO-35STH48-1684AHVRN</v>
      </c>
      <c r="B11" s="4" t="s">
        <v>15</v>
      </c>
      <c r="C11" s="4" t="s">
        <v>99</v>
      </c>
      <c r="D11" s="20">
        <v>14</v>
      </c>
      <c r="E11" s="4">
        <v>48</v>
      </c>
      <c r="F11" s="4">
        <v>1.8</v>
      </c>
      <c r="G11" s="4">
        <v>1.68</v>
      </c>
      <c r="H11" s="4">
        <v>40</v>
      </c>
      <c r="I11" s="4">
        <v>2.8</v>
      </c>
      <c r="J11" s="4">
        <v>1.65</v>
      </c>
      <c r="K11" s="4">
        <v>49</v>
      </c>
      <c r="M11" s="4" t="s">
        <v>119</v>
      </c>
    </row>
    <row r="12" spans="1:17" x14ac:dyDescent="0.25">
      <c r="A12" t="str">
        <f t="shared" si="1"/>
        <v>LDO-36STH20-1004AHG(XH)</v>
      </c>
      <c r="B12" s="4" t="s">
        <v>15</v>
      </c>
      <c r="C12" s="4" t="s">
        <v>158</v>
      </c>
      <c r="D12" s="20">
        <v>14</v>
      </c>
      <c r="E12" s="4">
        <v>20</v>
      </c>
      <c r="F12" s="4">
        <v>1.8</v>
      </c>
      <c r="G12" s="4">
        <v>1</v>
      </c>
      <c r="H12" s="4">
        <v>10</v>
      </c>
      <c r="I12" s="4">
        <v>1.6</v>
      </c>
      <c r="J12" s="4">
        <v>2.1</v>
      </c>
      <c r="K12" s="4">
        <v>16</v>
      </c>
    </row>
    <row r="13" spans="1:17" x14ac:dyDescent="0.25">
      <c r="A13" t="str">
        <f t="shared" si="1"/>
        <v>LDO-42STH20-1004ASH</v>
      </c>
      <c r="B13" s="4" t="s">
        <v>15</v>
      </c>
      <c r="C13" s="4" t="s">
        <v>103</v>
      </c>
      <c r="D13" s="20">
        <v>17</v>
      </c>
      <c r="E13" s="4">
        <v>20</v>
      </c>
      <c r="F13" s="4">
        <v>1.8</v>
      </c>
      <c r="G13" s="4">
        <v>1</v>
      </c>
      <c r="H13" s="4">
        <v>18</v>
      </c>
      <c r="I13" s="4">
        <v>7</v>
      </c>
      <c r="J13" s="4">
        <v>7.2</v>
      </c>
      <c r="K13" s="4">
        <v>21.4</v>
      </c>
      <c r="O13" t="s">
        <v>104</v>
      </c>
    </row>
    <row r="14" spans="1:17" x14ac:dyDescent="0.25">
      <c r="A14" t="str">
        <f t="shared" si="1"/>
        <v>LDO-42STH38-1684MAC</v>
      </c>
      <c r="B14" s="10" t="s">
        <v>15</v>
      </c>
      <c r="C14" s="10" t="s">
        <v>25</v>
      </c>
      <c r="D14" s="21">
        <v>17</v>
      </c>
      <c r="E14" s="10">
        <v>40</v>
      </c>
      <c r="F14" s="10">
        <v>0.9</v>
      </c>
      <c r="G14" s="10">
        <v>1.68</v>
      </c>
      <c r="H14" s="10">
        <v>32</v>
      </c>
      <c r="I14" s="10">
        <v>3.2</v>
      </c>
      <c r="J14" s="10">
        <v>1.65</v>
      </c>
      <c r="K14" s="10">
        <v>54</v>
      </c>
      <c r="L14" s="10"/>
      <c r="M14" s="10"/>
      <c r="O14" s="9" t="s">
        <v>85</v>
      </c>
    </row>
    <row r="15" spans="1:17" x14ac:dyDescent="0.25">
      <c r="A15" t="str">
        <f t="shared" si="1"/>
        <v>LDO-42STH40-1004MAH(VRN)</v>
      </c>
      <c r="B15" s="4" t="s">
        <v>15</v>
      </c>
      <c r="C15" s="4" t="s">
        <v>168</v>
      </c>
      <c r="D15" s="20">
        <v>17</v>
      </c>
      <c r="E15" s="4">
        <v>40</v>
      </c>
      <c r="F15" s="4">
        <v>0.9</v>
      </c>
      <c r="G15" s="4">
        <v>1</v>
      </c>
      <c r="H15" s="4">
        <v>39</v>
      </c>
      <c r="I15" s="4">
        <v>11.5</v>
      </c>
      <c r="J15" s="4">
        <v>4.0999999999999996</v>
      </c>
      <c r="K15" s="24">
        <v>62</v>
      </c>
      <c r="L15" s="24"/>
      <c r="O15" s="9" t="s">
        <v>167</v>
      </c>
    </row>
    <row r="16" spans="1:17" x14ac:dyDescent="0.25">
      <c r="A16" t="str">
        <f t="shared" si="1"/>
        <v>LDO-42STH40-1684AC</v>
      </c>
      <c r="B16" s="4" t="s">
        <v>15</v>
      </c>
      <c r="C16" s="4" t="s">
        <v>128</v>
      </c>
      <c r="D16" s="20">
        <v>17</v>
      </c>
      <c r="E16" s="4">
        <v>40</v>
      </c>
      <c r="F16" s="4">
        <v>1.8</v>
      </c>
      <c r="G16" s="4">
        <v>1.68</v>
      </c>
      <c r="H16" s="4">
        <v>36</v>
      </c>
      <c r="I16" s="4">
        <v>3.6</v>
      </c>
      <c r="J16" s="4">
        <v>1.65</v>
      </c>
      <c r="K16" s="4">
        <v>54</v>
      </c>
      <c r="O16" t="s">
        <v>129</v>
      </c>
    </row>
    <row r="17" spans="1:15" x14ac:dyDescent="0.25">
      <c r="A17" t="str">
        <f t="shared" si="1"/>
        <v>LDO-42STH40-2004MAH(VRN)</v>
      </c>
      <c r="B17" s="10" t="s">
        <v>15</v>
      </c>
      <c r="C17" s="10" t="s">
        <v>29</v>
      </c>
      <c r="D17" s="21">
        <v>17</v>
      </c>
      <c r="E17" s="10">
        <v>40</v>
      </c>
      <c r="F17" s="10">
        <v>0.9</v>
      </c>
      <c r="G17" s="10">
        <v>2</v>
      </c>
      <c r="H17" s="10">
        <v>35</v>
      </c>
      <c r="I17" s="10">
        <v>2.8</v>
      </c>
      <c r="J17" s="10">
        <v>1.1000000000000001</v>
      </c>
      <c r="K17" s="10">
        <v>71</v>
      </c>
      <c r="L17" s="10"/>
      <c r="M17" s="10"/>
      <c r="O17" s="9" t="s">
        <v>90</v>
      </c>
    </row>
    <row r="18" spans="1:15" x14ac:dyDescent="0.25">
      <c r="A18" t="str">
        <f t="shared" si="1"/>
        <v>LDO-42STH47-1684AC</v>
      </c>
      <c r="B18" s="10" t="s">
        <v>15</v>
      </c>
      <c r="C18" s="10" t="s">
        <v>22</v>
      </c>
      <c r="D18" s="21">
        <v>17</v>
      </c>
      <c r="E18" s="10">
        <v>48</v>
      </c>
      <c r="F18" s="10">
        <v>1.8</v>
      </c>
      <c r="G18" s="10">
        <v>1.68</v>
      </c>
      <c r="H18" s="10">
        <v>49</v>
      </c>
      <c r="I18" s="10">
        <v>2.8</v>
      </c>
      <c r="J18" s="10">
        <v>1.65</v>
      </c>
      <c r="K18" s="10">
        <v>68</v>
      </c>
      <c r="L18" s="10"/>
      <c r="M18" s="10"/>
      <c r="O18" s="9" t="s">
        <v>82</v>
      </c>
    </row>
    <row r="19" spans="1:15" x14ac:dyDescent="0.25">
      <c r="A19" t="str">
        <f t="shared" si="1"/>
        <v>LDO-42STH47-2504AC</v>
      </c>
      <c r="B19" s="4" t="s">
        <v>15</v>
      </c>
      <c r="C19" s="4" t="s">
        <v>109</v>
      </c>
      <c r="D19" s="20">
        <v>17</v>
      </c>
      <c r="E19" s="4">
        <v>48</v>
      </c>
      <c r="F19" s="4">
        <v>1.8</v>
      </c>
      <c r="G19" s="4">
        <v>2.5</v>
      </c>
      <c r="H19" s="4">
        <f>5.5*9.8</f>
        <v>53.900000000000006</v>
      </c>
      <c r="I19" s="4">
        <v>1.8</v>
      </c>
      <c r="J19" s="4">
        <v>1.25</v>
      </c>
      <c r="K19" s="4">
        <v>68</v>
      </c>
    </row>
    <row r="20" spans="1:15" x14ac:dyDescent="0.25">
      <c r="A20" t="str">
        <f t="shared" si="1"/>
        <v>LDO-42STH48-1684MAH</v>
      </c>
      <c r="B20" s="10" t="s">
        <v>15</v>
      </c>
      <c r="C20" s="10" t="s">
        <v>23</v>
      </c>
      <c r="D20" s="21">
        <v>17</v>
      </c>
      <c r="E20" s="10">
        <v>48</v>
      </c>
      <c r="F20" s="10">
        <v>0.9</v>
      </c>
      <c r="G20" s="10">
        <v>1.68</v>
      </c>
      <c r="H20" s="10">
        <v>39</v>
      </c>
      <c r="I20" s="10">
        <v>2.8</v>
      </c>
      <c r="J20" s="10">
        <v>1.65</v>
      </c>
      <c r="K20" s="10">
        <v>68</v>
      </c>
      <c r="L20" s="10"/>
      <c r="M20" s="10"/>
      <c r="O20" s="9" t="s">
        <v>83</v>
      </c>
    </row>
    <row r="21" spans="1:15" x14ac:dyDescent="0.25">
      <c r="A21" t="str">
        <f t="shared" si="1"/>
        <v>LDO-42STH48-2004AC(VRN)</v>
      </c>
      <c r="B21" s="10" t="s">
        <v>15</v>
      </c>
      <c r="C21" s="10" t="s">
        <v>160</v>
      </c>
      <c r="D21" s="21">
        <v>17</v>
      </c>
      <c r="E21" s="10">
        <v>48</v>
      </c>
      <c r="F21" s="10">
        <v>1.8</v>
      </c>
      <c r="G21" s="10">
        <v>2</v>
      </c>
      <c r="H21" s="10">
        <v>59</v>
      </c>
      <c r="I21" s="10">
        <v>3</v>
      </c>
      <c r="J21" s="10">
        <v>1.6</v>
      </c>
      <c r="K21" s="10">
        <v>85</v>
      </c>
      <c r="L21" s="10"/>
      <c r="M21" s="10"/>
      <c r="O21" s="9" t="s">
        <v>87</v>
      </c>
    </row>
    <row r="22" spans="1:15" x14ac:dyDescent="0.25">
      <c r="A22" t="str">
        <f t="shared" si="1"/>
        <v>LDO-42STH48-2004AH</v>
      </c>
      <c r="B22" s="4" t="s">
        <v>15</v>
      </c>
      <c r="C22" s="4" t="s">
        <v>107</v>
      </c>
      <c r="D22" s="20">
        <v>17</v>
      </c>
      <c r="E22" s="4">
        <v>48</v>
      </c>
      <c r="F22" s="4">
        <v>1.8</v>
      </c>
      <c r="G22" s="4">
        <v>2</v>
      </c>
      <c r="H22" s="4">
        <v>59</v>
      </c>
      <c r="I22" s="4">
        <v>3</v>
      </c>
      <c r="J22" s="4">
        <v>1.4</v>
      </c>
      <c r="K22" s="4">
        <v>68</v>
      </c>
      <c r="O22" t="s">
        <v>108</v>
      </c>
    </row>
    <row r="23" spans="1:15" x14ac:dyDescent="0.25">
      <c r="A23" t="str">
        <f t="shared" si="1"/>
        <v>LDO-42STH48-2004MAH(VRN)</v>
      </c>
      <c r="B23" s="4" t="s">
        <v>15</v>
      </c>
      <c r="C23" s="4" t="s">
        <v>159</v>
      </c>
      <c r="D23" s="20">
        <v>17</v>
      </c>
      <c r="E23" s="4">
        <v>48</v>
      </c>
      <c r="F23" s="4">
        <v>0.9</v>
      </c>
      <c r="G23" s="4">
        <v>2</v>
      </c>
      <c r="H23" s="4">
        <v>40</v>
      </c>
      <c r="I23" s="4">
        <v>2</v>
      </c>
      <c r="J23" s="4">
        <v>1.45</v>
      </c>
      <c r="K23" s="4">
        <v>68</v>
      </c>
    </row>
    <row r="24" spans="1:15" x14ac:dyDescent="0.25">
      <c r="A24" t="str">
        <f t="shared" si="1"/>
        <v>LDO-42STH48-2504AC</v>
      </c>
      <c r="B24" s="4" t="s">
        <v>15</v>
      </c>
      <c r="C24" s="4" t="s">
        <v>157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  <c r="N24">
        <v>20.9</v>
      </c>
    </row>
    <row r="25" spans="1:15" x14ac:dyDescent="0.25">
      <c r="A25" t="str">
        <f t="shared" si="1"/>
        <v>LDO-42STH48-2504AH</v>
      </c>
      <c r="B25" s="4" t="s">
        <v>15</v>
      </c>
      <c r="C25" s="4" t="s">
        <v>156</v>
      </c>
      <c r="D25" s="20">
        <v>17</v>
      </c>
      <c r="E25" s="4">
        <v>48</v>
      </c>
      <c r="F25" s="4">
        <v>1.8</v>
      </c>
      <c r="G25" s="4">
        <v>2.5</v>
      </c>
      <c r="H25" s="4">
        <v>55</v>
      </c>
      <c r="I25" s="4">
        <v>1.5</v>
      </c>
      <c r="J25" s="4">
        <v>1.2</v>
      </c>
      <c r="K25" s="4">
        <v>84.5</v>
      </c>
    </row>
    <row r="26" spans="1:15" x14ac:dyDescent="0.25">
      <c r="A26" t="str">
        <f t="shared" si="1"/>
        <v>LDO-42STH60-2004AH</v>
      </c>
      <c r="B26" s="10" t="s">
        <v>15</v>
      </c>
      <c r="C26" s="10" t="s">
        <v>24</v>
      </c>
      <c r="D26" s="21">
        <v>17</v>
      </c>
      <c r="E26" s="10">
        <v>60</v>
      </c>
      <c r="F26" s="10">
        <v>1.8</v>
      </c>
      <c r="G26" s="10">
        <v>2</v>
      </c>
      <c r="H26" s="10">
        <v>83</v>
      </c>
      <c r="I26" s="10">
        <v>3.3</v>
      </c>
      <c r="J26" s="10">
        <v>2</v>
      </c>
      <c r="K26" s="10">
        <v>102</v>
      </c>
      <c r="L26" s="10"/>
      <c r="M26" s="10"/>
      <c r="O26" s="9" t="s">
        <v>84</v>
      </c>
    </row>
    <row r="27" spans="1:15" x14ac:dyDescent="0.25">
      <c r="A27" t="str">
        <f t="shared" si="1"/>
        <v>LDO-42STH60-2004MAC (Railcore)</v>
      </c>
      <c r="B27" s="10" t="s">
        <v>15</v>
      </c>
      <c r="C27" s="10" t="s">
        <v>26</v>
      </c>
      <c r="D27" s="21">
        <v>17</v>
      </c>
      <c r="E27" s="10">
        <v>60</v>
      </c>
      <c r="F27" s="10">
        <v>0.9</v>
      </c>
      <c r="G27" s="10">
        <v>2</v>
      </c>
      <c r="H27" s="10">
        <v>59</v>
      </c>
      <c r="I27" s="10">
        <v>3</v>
      </c>
      <c r="J27" s="10">
        <v>1.4</v>
      </c>
      <c r="K27" s="10">
        <v>120</v>
      </c>
      <c r="L27" s="10"/>
      <c r="M27" s="10"/>
      <c r="O27" s="9" t="s">
        <v>86</v>
      </c>
    </row>
    <row r="28" spans="1:15" x14ac:dyDescent="0.25">
      <c r="A28" t="str">
        <f t="shared" si="1"/>
        <v>LDO-42STH60-2004MAH</v>
      </c>
      <c r="B28" s="4" t="s">
        <v>15</v>
      </c>
      <c r="C28" s="4" t="s">
        <v>105</v>
      </c>
      <c r="D28" s="20">
        <v>17</v>
      </c>
      <c r="E28" s="4">
        <v>60</v>
      </c>
      <c r="F28" s="4">
        <v>0.9</v>
      </c>
      <c r="G28" s="4">
        <v>2</v>
      </c>
      <c r="H28" s="4">
        <f>9.8*6</f>
        <v>58.800000000000004</v>
      </c>
      <c r="I28" s="4">
        <v>3</v>
      </c>
      <c r="J28" s="4">
        <v>1.4</v>
      </c>
      <c r="K28" s="4">
        <v>120</v>
      </c>
      <c r="O28" t="s">
        <v>106</v>
      </c>
    </row>
    <row r="29" spans="1:15" x14ac:dyDescent="0.25">
      <c r="A29" t="str">
        <f t="shared" si="1"/>
        <v>LDO-57STH41-2804MAC(HEV)</v>
      </c>
      <c r="B29" s="4" t="s">
        <v>15</v>
      </c>
      <c r="C29" s="4" t="s">
        <v>165</v>
      </c>
      <c r="D29" s="20">
        <v>23</v>
      </c>
      <c r="E29" s="4">
        <v>41</v>
      </c>
      <c r="F29" s="4">
        <v>0.9</v>
      </c>
      <c r="G29" s="4">
        <v>2.8</v>
      </c>
      <c r="H29" s="4">
        <v>60</v>
      </c>
      <c r="I29" s="4">
        <v>1.4</v>
      </c>
      <c r="J29" s="4">
        <v>0.7</v>
      </c>
      <c r="K29" s="4">
        <v>120</v>
      </c>
      <c r="O29" s="9" t="s">
        <v>166</v>
      </c>
    </row>
    <row r="30" spans="1:15" x14ac:dyDescent="0.25">
      <c r="A30" t="str">
        <f t="shared" si="1"/>
        <v>LDO-57STH56-2804MAC(RC)</v>
      </c>
      <c r="B30" s="4" t="s">
        <v>15</v>
      </c>
      <c r="C30" s="4" t="s">
        <v>162</v>
      </c>
      <c r="D30" s="20">
        <v>23</v>
      </c>
      <c r="E30" s="4">
        <v>56</v>
      </c>
      <c r="F30" s="4">
        <v>0.9</v>
      </c>
      <c r="G30" s="4">
        <v>2.8</v>
      </c>
      <c r="H30" s="4">
        <v>120</v>
      </c>
      <c r="I30" s="4">
        <v>3.4</v>
      </c>
      <c r="J30" s="4">
        <v>1.1000000000000001</v>
      </c>
      <c r="K30" s="4">
        <v>305</v>
      </c>
      <c r="O30" s="9" t="s">
        <v>161</v>
      </c>
    </row>
    <row r="31" spans="1:15" x14ac:dyDescent="0.25">
      <c r="A31" t="str">
        <f t="shared" si="1"/>
        <v>Moons-MS14HA1P4150</v>
      </c>
      <c r="B31" s="10" t="s">
        <v>17</v>
      </c>
      <c r="C31" s="10" t="s">
        <v>34</v>
      </c>
      <c r="D31" s="21">
        <v>14</v>
      </c>
      <c r="E31" s="10">
        <v>27</v>
      </c>
      <c r="F31" s="10">
        <v>0.9</v>
      </c>
      <c r="G31" s="10">
        <v>1.5</v>
      </c>
      <c r="H31" s="10">
        <v>11</v>
      </c>
      <c r="I31" s="10">
        <v>1.8</v>
      </c>
      <c r="J31" s="10">
        <v>1.55</v>
      </c>
      <c r="K31" s="10">
        <v>12</v>
      </c>
      <c r="L31" s="10"/>
      <c r="M31" s="10"/>
      <c r="O31" s="9" t="s">
        <v>96</v>
      </c>
    </row>
    <row r="32" spans="1:15" x14ac:dyDescent="0.25">
      <c r="A32" t="str">
        <f t="shared" si="1"/>
        <v>Moons-MS14HA3P4150</v>
      </c>
      <c r="B32" s="10" t="s">
        <v>17</v>
      </c>
      <c r="C32" s="10" t="s">
        <v>12</v>
      </c>
      <c r="D32" s="21">
        <v>14</v>
      </c>
      <c r="E32" s="10">
        <v>36</v>
      </c>
      <c r="F32" s="10">
        <v>0.9</v>
      </c>
      <c r="G32" s="10">
        <v>1.5</v>
      </c>
      <c r="H32" s="10">
        <v>18</v>
      </c>
      <c r="I32" s="10">
        <v>2.2000000000000002</v>
      </c>
      <c r="J32" s="10">
        <v>1.61</v>
      </c>
      <c r="K32" s="10">
        <v>20</v>
      </c>
      <c r="L32" s="10"/>
      <c r="M32" s="10"/>
      <c r="O32" s="9" t="s">
        <v>94</v>
      </c>
    </row>
    <row r="33" spans="1:15" x14ac:dyDescent="0.25">
      <c r="A33" t="str">
        <f t="shared" si="1"/>
        <v>Moons-MS17HA2P4150 </v>
      </c>
      <c r="B33" s="11" t="s">
        <v>17</v>
      </c>
      <c r="C33" s="10" t="s">
        <v>75</v>
      </c>
      <c r="D33" s="22">
        <v>17</v>
      </c>
      <c r="E33" s="11">
        <v>39.799999999999997</v>
      </c>
      <c r="F33" s="11">
        <v>0.9</v>
      </c>
      <c r="G33" s="11">
        <v>1.5</v>
      </c>
      <c r="H33" s="11">
        <v>40</v>
      </c>
      <c r="I33" s="11">
        <v>5.4</v>
      </c>
      <c r="J33" s="11">
        <v>1.98</v>
      </c>
      <c r="K33" s="11">
        <v>57</v>
      </c>
      <c r="L33" s="11"/>
      <c r="M33" s="11"/>
      <c r="O33" s="9" t="s">
        <v>76</v>
      </c>
    </row>
    <row r="34" spans="1:15" x14ac:dyDescent="0.25">
      <c r="A34" t="str">
        <f t="shared" si="1"/>
        <v>Moons-MS17HA2P4200</v>
      </c>
      <c r="B34" s="10" t="s">
        <v>17</v>
      </c>
      <c r="C34" s="10" t="s">
        <v>28</v>
      </c>
      <c r="D34" s="21">
        <v>17</v>
      </c>
      <c r="E34" s="10">
        <v>40</v>
      </c>
      <c r="F34" s="10">
        <v>0.9</v>
      </c>
      <c r="G34" s="10">
        <v>2</v>
      </c>
      <c r="H34" s="10">
        <v>39</v>
      </c>
      <c r="I34" s="10">
        <v>2.8</v>
      </c>
      <c r="J34" s="10">
        <v>1.05</v>
      </c>
      <c r="K34" s="10">
        <v>57</v>
      </c>
      <c r="L34" s="10"/>
      <c r="M34" s="10"/>
      <c r="O34" s="9" t="s">
        <v>89</v>
      </c>
    </row>
    <row r="35" spans="1:15" x14ac:dyDescent="0.25">
      <c r="A35" t="str">
        <f t="shared" si="1"/>
        <v>Moons-MS17HDBP4100</v>
      </c>
      <c r="B35" s="10" t="s">
        <v>17</v>
      </c>
      <c r="C35" s="10" t="s">
        <v>35</v>
      </c>
      <c r="D35" s="21">
        <v>17</v>
      </c>
      <c r="E35" s="10">
        <v>63</v>
      </c>
      <c r="F35" s="10">
        <v>1.8</v>
      </c>
      <c r="G35" s="10">
        <v>1</v>
      </c>
      <c r="H35" s="10">
        <v>82</v>
      </c>
      <c r="I35" s="10">
        <v>14.6</v>
      </c>
      <c r="J35" s="10">
        <v>5.6</v>
      </c>
      <c r="K35" s="10">
        <v>123</v>
      </c>
      <c r="L35" s="10"/>
      <c r="M35" s="10"/>
      <c r="O35" s="9" t="s">
        <v>97</v>
      </c>
    </row>
    <row r="36" spans="1:15" x14ac:dyDescent="0.25">
      <c r="A36" t="str">
        <f t="shared" si="1"/>
        <v>Motech-MT-1704HSM168RE</v>
      </c>
      <c r="B36" s="10" t="s">
        <v>18</v>
      </c>
      <c r="C36" s="10" t="s">
        <v>30</v>
      </c>
      <c r="D36" s="21">
        <v>17</v>
      </c>
      <c r="E36" s="10">
        <v>48</v>
      </c>
      <c r="F36" s="10">
        <v>0.9</v>
      </c>
      <c r="G36" s="10">
        <v>1.68</v>
      </c>
      <c r="H36" s="23">
        <f>4.4*9.8</f>
        <v>43.120000000000005</v>
      </c>
      <c r="I36" s="10">
        <v>2.8</v>
      </c>
      <c r="J36" s="10">
        <v>1.65</v>
      </c>
      <c r="K36" s="10">
        <v>68</v>
      </c>
      <c r="L36" s="10"/>
      <c r="M36" s="10"/>
      <c r="O36" s="9" t="s">
        <v>91</v>
      </c>
    </row>
    <row r="37" spans="1:15" x14ac:dyDescent="0.25">
      <c r="A37" t="str">
        <f t="shared" si="1"/>
        <v>Nanotec-ST4209L1704-A</v>
      </c>
      <c r="B37" s="10" t="s">
        <v>16</v>
      </c>
      <c r="C37" s="10" t="s">
        <v>27</v>
      </c>
      <c r="D37" s="21">
        <v>17</v>
      </c>
      <c r="E37" s="10">
        <v>48</v>
      </c>
      <c r="F37" s="10">
        <v>0.9</v>
      </c>
      <c r="G37" s="10">
        <v>1.68</v>
      </c>
      <c r="H37" s="10">
        <v>44</v>
      </c>
      <c r="I37" s="10">
        <v>5</v>
      </c>
      <c r="J37" s="10">
        <v>1.8</v>
      </c>
      <c r="K37" s="10">
        <v>68</v>
      </c>
      <c r="L37" s="10"/>
      <c r="M37" s="10"/>
      <c r="O37" s="9" t="s">
        <v>88</v>
      </c>
    </row>
    <row r="38" spans="1:15" x14ac:dyDescent="0.25">
      <c r="A38" t="str">
        <f t="shared" si="1"/>
        <v>OMC-14HS10-0404S</v>
      </c>
      <c r="B38" s="10" t="s">
        <v>14</v>
      </c>
      <c r="C38" s="10" t="s">
        <v>100</v>
      </c>
      <c r="D38" s="21">
        <v>14</v>
      </c>
      <c r="E38" s="10">
        <v>26</v>
      </c>
      <c r="F38" s="10">
        <v>1.8</v>
      </c>
      <c r="G38" s="10">
        <v>0.4</v>
      </c>
      <c r="H38" s="10">
        <v>14</v>
      </c>
      <c r="I38" s="10">
        <v>30</v>
      </c>
      <c r="J38" s="10">
        <v>30</v>
      </c>
      <c r="K38" s="10">
        <v>12</v>
      </c>
      <c r="L38" s="10"/>
      <c r="M38" s="10"/>
      <c r="O38" s="9" t="s">
        <v>101</v>
      </c>
    </row>
    <row r="39" spans="1:15" x14ac:dyDescent="0.25">
      <c r="A39" t="str">
        <f t="shared" si="1"/>
        <v>OMC-14HS13-0804S</v>
      </c>
      <c r="B39" s="10" t="s">
        <v>14</v>
      </c>
      <c r="C39" s="10" t="s">
        <v>36</v>
      </c>
      <c r="D39" s="21">
        <v>14</v>
      </c>
      <c r="E39" s="10">
        <v>34</v>
      </c>
      <c r="F39" s="10">
        <v>1.8</v>
      </c>
      <c r="G39" s="10">
        <v>0.8</v>
      </c>
      <c r="H39" s="10">
        <v>18</v>
      </c>
      <c r="I39" s="10">
        <v>10</v>
      </c>
      <c r="J39" s="10">
        <v>6.8</v>
      </c>
      <c r="K39" s="10">
        <v>14</v>
      </c>
      <c r="L39" s="10"/>
      <c r="M39" s="10"/>
      <c r="O39" s="9" t="s">
        <v>98</v>
      </c>
    </row>
    <row r="40" spans="1:15" x14ac:dyDescent="0.25">
      <c r="A40" t="str">
        <f t="shared" si="1"/>
        <v>OMC-14HS17-0504S</v>
      </c>
      <c r="B40" s="10" t="s">
        <v>14</v>
      </c>
      <c r="C40" s="10" t="s">
        <v>31</v>
      </c>
      <c r="D40" s="21">
        <v>14</v>
      </c>
      <c r="E40" s="10">
        <v>42</v>
      </c>
      <c r="F40" s="10">
        <v>1.8</v>
      </c>
      <c r="G40" s="10">
        <v>0.5</v>
      </c>
      <c r="H40" s="10">
        <v>23</v>
      </c>
      <c r="I40" s="10">
        <v>26</v>
      </c>
      <c r="J40" s="10">
        <v>15</v>
      </c>
      <c r="K40" s="10">
        <v>18</v>
      </c>
      <c r="L40" s="10"/>
      <c r="M40" s="10"/>
      <c r="O40" s="9" t="s">
        <v>92</v>
      </c>
    </row>
    <row r="41" spans="1:15" x14ac:dyDescent="0.25">
      <c r="A41" t="str">
        <f t="shared" ref="A41:A71" si="2">CONCATENATE(B41,"-",C41)</f>
        <v>OMC-14HS20-1504S</v>
      </c>
      <c r="B41" s="10" t="s">
        <v>14</v>
      </c>
      <c r="C41" s="10" t="s">
        <v>32</v>
      </c>
      <c r="D41" s="21">
        <v>14</v>
      </c>
      <c r="E41" s="10">
        <v>52</v>
      </c>
      <c r="F41" s="10">
        <v>1.8</v>
      </c>
      <c r="G41" s="10">
        <v>1.5</v>
      </c>
      <c r="H41" s="10">
        <v>40</v>
      </c>
      <c r="I41" s="10">
        <v>3.8</v>
      </c>
      <c r="J41" s="10">
        <v>2.8</v>
      </c>
      <c r="K41" s="10">
        <v>54</v>
      </c>
      <c r="L41" s="10"/>
      <c r="M41" s="10" t="s">
        <v>119</v>
      </c>
      <c r="O41" s="9" t="s">
        <v>93</v>
      </c>
    </row>
    <row r="42" spans="1:15" x14ac:dyDescent="0.25">
      <c r="A42" t="str">
        <f t="shared" si="2"/>
        <v>OMC-17HM19-1684S</v>
      </c>
      <c r="B42" s="10" t="s">
        <v>14</v>
      </c>
      <c r="C42" s="10" t="s">
        <v>21</v>
      </c>
      <c r="D42" s="21">
        <v>17</v>
      </c>
      <c r="E42" s="10">
        <v>48</v>
      </c>
      <c r="F42" s="10">
        <v>0.9</v>
      </c>
      <c r="G42" s="10">
        <v>1.68</v>
      </c>
      <c r="H42" s="10">
        <v>44</v>
      </c>
      <c r="I42" s="10">
        <v>4.0999999999999996</v>
      </c>
      <c r="J42" s="10">
        <v>1.65</v>
      </c>
      <c r="K42" s="10">
        <v>68</v>
      </c>
      <c r="L42" s="10"/>
      <c r="M42" s="10"/>
      <c r="O42" s="9" t="s">
        <v>81</v>
      </c>
    </row>
    <row r="43" spans="1:15" x14ac:dyDescent="0.25">
      <c r="A43" t="str">
        <f t="shared" si="2"/>
        <v>OMC-17HM19-2004S</v>
      </c>
      <c r="B43" s="10" t="s">
        <v>14</v>
      </c>
      <c r="C43" s="10" t="s">
        <v>20</v>
      </c>
      <c r="D43" s="21">
        <v>17</v>
      </c>
      <c r="E43" s="10">
        <v>48</v>
      </c>
      <c r="F43" s="10">
        <v>0.9</v>
      </c>
      <c r="G43" s="10">
        <v>2</v>
      </c>
      <c r="H43" s="10">
        <v>46</v>
      </c>
      <c r="I43" s="10">
        <v>4</v>
      </c>
      <c r="J43" s="10">
        <v>1.45</v>
      </c>
      <c r="K43" s="10">
        <v>82</v>
      </c>
      <c r="L43" s="10"/>
      <c r="M43" s="10"/>
      <c r="O43" s="9" t="s">
        <v>80</v>
      </c>
    </row>
    <row r="44" spans="1:15" x14ac:dyDescent="0.25">
      <c r="A44" t="str">
        <f t="shared" si="2"/>
        <v>OMC-17HS08-1004S</v>
      </c>
      <c r="B44" s="4" t="s">
        <v>14</v>
      </c>
      <c r="C44" s="4" t="s">
        <v>127</v>
      </c>
      <c r="D44" s="20">
        <v>17</v>
      </c>
      <c r="E44" s="4">
        <v>20</v>
      </c>
      <c r="F44" s="4">
        <v>1.8</v>
      </c>
      <c r="G44" s="4">
        <v>1</v>
      </c>
      <c r="H44" s="4">
        <v>16</v>
      </c>
      <c r="I44" s="4">
        <v>3.7</v>
      </c>
      <c r="J44" s="4">
        <v>4.5</v>
      </c>
      <c r="K44" s="4">
        <v>22</v>
      </c>
    </row>
    <row r="45" spans="1:15" x14ac:dyDescent="0.25">
      <c r="A45" t="str">
        <f t="shared" si="2"/>
        <v>OMC-17HS13-0404S1</v>
      </c>
      <c r="B45" s="10" t="s">
        <v>14</v>
      </c>
      <c r="C45" s="10" t="s">
        <v>33</v>
      </c>
      <c r="D45" s="21">
        <v>17</v>
      </c>
      <c r="E45" s="10">
        <v>34</v>
      </c>
      <c r="F45" s="10">
        <v>1.8</v>
      </c>
      <c r="G45" s="10">
        <v>0.4</v>
      </c>
      <c r="H45" s="10">
        <v>26</v>
      </c>
      <c r="I45" s="10">
        <v>37</v>
      </c>
      <c r="J45" s="10">
        <v>30</v>
      </c>
      <c r="K45" s="10">
        <v>38</v>
      </c>
      <c r="L45" s="10"/>
      <c r="M45" s="10"/>
      <c r="O45" s="9" t="s">
        <v>95</v>
      </c>
    </row>
    <row r="46" spans="1:15" x14ac:dyDescent="0.25">
      <c r="A46" t="str">
        <f t="shared" si="2"/>
        <v>OMC-17HS16-2004S1</v>
      </c>
      <c r="B46" s="10" t="s">
        <v>14</v>
      </c>
      <c r="C46" s="10" t="s">
        <v>19</v>
      </c>
      <c r="D46" s="21">
        <v>17</v>
      </c>
      <c r="E46" s="10">
        <v>40</v>
      </c>
      <c r="F46" s="10">
        <v>1.8</v>
      </c>
      <c r="G46" s="10">
        <v>2</v>
      </c>
      <c r="H46" s="10">
        <v>45</v>
      </c>
      <c r="I46" s="10">
        <v>2.6</v>
      </c>
      <c r="J46" s="10">
        <v>1.1000000000000001</v>
      </c>
      <c r="K46" s="10">
        <v>54</v>
      </c>
      <c r="L46" s="10"/>
      <c r="M46" s="10"/>
      <c r="O46" s="9" t="s">
        <v>79</v>
      </c>
    </row>
    <row r="47" spans="1:15" x14ac:dyDescent="0.25">
      <c r="A47" t="str">
        <f t="shared" si="2"/>
        <v>OMC-17HS19-2004S1</v>
      </c>
      <c r="B47" s="10" t="s">
        <v>14</v>
      </c>
      <c r="C47" s="10" t="s">
        <v>77</v>
      </c>
      <c r="D47" s="21">
        <v>17</v>
      </c>
      <c r="E47" s="10">
        <v>48</v>
      </c>
      <c r="F47" s="10">
        <v>1.8</v>
      </c>
      <c r="G47" s="10">
        <v>2</v>
      </c>
      <c r="H47" s="10">
        <v>59</v>
      </c>
      <c r="I47" s="10">
        <v>3</v>
      </c>
      <c r="J47" s="10">
        <v>1.4</v>
      </c>
      <c r="K47" s="10">
        <v>82</v>
      </c>
      <c r="L47" s="10"/>
      <c r="M47" s="10"/>
      <c r="O47" s="9" t="s">
        <v>78</v>
      </c>
    </row>
    <row r="48" spans="1:15" x14ac:dyDescent="0.25">
      <c r="A48" t="str">
        <f t="shared" si="2"/>
        <v>OMC-17HS24-2104S</v>
      </c>
      <c r="B48" s="4" t="s">
        <v>14</v>
      </c>
      <c r="C48" s="4" t="s">
        <v>110</v>
      </c>
      <c r="D48" s="20">
        <v>17</v>
      </c>
      <c r="E48" s="4">
        <v>60</v>
      </c>
      <c r="F48" s="4">
        <v>1.8</v>
      </c>
      <c r="G48" s="4">
        <v>2.1</v>
      </c>
      <c r="H48" s="4">
        <v>65</v>
      </c>
      <c r="I48" s="4">
        <v>3</v>
      </c>
      <c r="J48" s="4">
        <v>1.6</v>
      </c>
      <c r="K48" s="4">
        <v>148</v>
      </c>
    </row>
    <row r="49" spans="1:15" x14ac:dyDescent="0.25">
      <c r="A49" s="26" t="str">
        <f t="shared" si="2"/>
        <v>Wantai-42BYGHW811</v>
      </c>
      <c r="B49" s="4" t="s">
        <v>170</v>
      </c>
      <c r="C49" s="4" t="s">
        <v>171</v>
      </c>
      <c r="D49" s="20">
        <v>17</v>
      </c>
      <c r="E49" s="4">
        <v>48</v>
      </c>
      <c r="F49" s="4">
        <v>1.8</v>
      </c>
      <c r="G49" s="4">
        <v>2.5</v>
      </c>
      <c r="H49" s="4">
        <v>47</v>
      </c>
      <c r="I49" s="4">
        <v>1.8</v>
      </c>
      <c r="J49" s="4">
        <v>1.25</v>
      </c>
      <c r="K49" s="4">
        <v>68</v>
      </c>
      <c r="N49">
        <v>15.95</v>
      </c>
      <c r="O49" t="s">
        <v>172</v>
      </c>
    </row>
    <row r="50" spans="1:15" x14ac:dyDescent="0.25">
      <c r="A50" t="str">
        <f t="shared" si="2"/>
        <v>LDO-42STH48-2804AC</v>
      </c>
      <c r="B50" s="4" t="s">
        <v>15</v>
      </c>
      <c r="C50" s="4" t="s">
        <v>173</v>
      </c>
      <c r="D50" s="20">
        <v>17</v>
      </c>
      <c r="E50" s="4">
        <v>48</v>
      </c>
      <c r="F50" s="4">
        <v>1.8</v>
      </c>
      <c r="G50" s="4">
        <v>2.8</v>
      </c>
      <c r="H50" s="4">
        <v>42</v>
      </c>
      <c r="I50" s="4">
        <v>0.6</v>
      </c>
      <c r="J50" s="4">
        <v>0.7</v>
      </c>
      <c r="K50" s="4">
        <v>84.5</v>
      </c>
      <c r="N50">
        <v>25.95</v>
      </c>
      <c r="O50" t="s">
        <v>174</v>
      </c>
    </row>
    <row r="51" spans="1:15" x14ac:dyDescent="0.25">
      <c r="A51" t="str">
        <f t="shared" si="2"/>
        <v xml:space="preserve">Wantai-42BYGHW804 </v>
      </c>
      <c r="B51" s="4" t="s">
        <v>170</v>
      </c>
      <c r="C51" s="25" t="s">
        <v>175</v>
      </c>
      <c r="D51" s="20">
        <v>17</v>
      </c>
      <c r="E51" s="4">
        <v>48</v>
      </c>
      <c r="F51" s="4">
        <v>1.8</v>
      </c>
      <c r="G51" s="4">
        <v>1.2</v>
      </c>
      <c r="H51" s="4">
        <v>45</v>
      </c>
      <c r="I51" s="4">
        <v>5</v>
      </c>
      <c r="J51" s="4">
        <v>3</v>
      </c>
      <c r="K51" s="4">
        <v>68</v>
      </c>
      <c r="O51" t="s">
        <v>176</v>
      </c>
    </row>
    <row r="52" spans="1:15" x14ac:dyDescent="0.25">
      <c r="A52" t="str">
        <f t="shared" si="2"/>
        <v>LDO-42STH48-2504MAC(F)</v>
      </c>
      <c r="B52" s="4" t="s">
        <v>15</v>
      </c>
      <c r="C52" s="4" t="s">
        <v>177</v>
      </c>
      <c r="D52" s="20">
        <v>17</v>
      </c>
      <c r="E52" s="4">
        <v>48</v>
      </c>
      <c r="F52" s="4">
        <v>0.9</v>
      </c>
      <c r="G52" s="4">
        <v>2.5</v>
      </c>
      <c r="H52" s="4">
        <v>45</v>
      </c>
      <c r="I52" s="4">
        <v>1.5</v>
      </c>
      <c r="J52" s="4">
        <v>1.2</v>
      </c>
      <c r="K52" s="4">
        <v>85</v>
      </c>
      <c r="N52">
        <v>22.5</v>
      </c>
    </row>
    <row r="53" spans="1:15" x14ac:dyDescent="0.25">
      <c r="A53" t="str">
        <f t="shared" si="2"/>
        <v>FYSETC-MS17HD2P420A-01</v>
      </c>
      <c r="B53" s="4" t="s">
        <v>112</v>
      </c>
      <c r="C53" s="4" t="s">
        <v>178</v>
      </c>
      <c r="D53" s="20">
        <v>17</v>
      </c>
      <c r="E53" s="4">
        <v>40</v>
      </c>
      <c r="F53" s="4">
        <v>1.8</v>
      </c>
      <c r="G53" s="4">
        <v>2</v>
      </c>
      <c r="H53" s="4">
        <v>54</v>
      </c>
      <c r="I53" s="4">
        <v>3.1</v>
      </c>
      <c r="J53" s="4">
        <v>1.37</v>
      </c>
      <c r="K53" s="4">
        <v>57</v>
      </c>
      <c r="N53">
        <v>14.5</v>
      </c>
    </row>
    <row r="54" spans="1:15" x14ac:dyDescent="0.25">
      <c r="A54" t="str">
        <f t="shared" si="2"/>
        <v>Cloudray-17CS03A-130E</v>
      </c>
      <c r="B54" s="4" t="s">
        <v>180</v>
      </c>
      <c r="C54" s="4" t="s">
        <v>181</v>
      </c>
      <c r="D54" s="20">
        <v>17</v>
      </c>
      <c r="E54" s="4">
        <v>34</v>
      </c>
      <c r="F54" s="4">
        <v>1.8</v>
      </c>
      <c r="G54" s="4">
        <v>1.3</v>
      </c>
      <c r="H54" s="4">
        <v>28</v>
      </c>
      <c r="I54" s="4">
        <v>2.8</v>
      </c>
      <c r="J54" s="4">
        <v>2.2599999999999998</v>
      </c>
      <c r="K54" s="4">
        <v>41</v>
      </c>
    </row>
    <row r="55" spans="1:15" x14ac:dyDescent="0.25">
      <c r="A55" t="str">
        <f t="shared" si="2"/>
        <v>Cloudray-17CS02A-120</v>
      </c>
      <c r="B55" s="4" t="s">
        <v>180</v>
      </c>
      <c r="C55" s="4" t="s">
        <v>182</v>
      </c>
      <c r="D55" s="20">
        <v>17</v>
      </c>
      <c r="E55" s="4">
        <v>40</v>
      </c>
      <c r="F55" s="4">
        <v>1.8</v>
      </c>
      <c r="G55" s="4">
        <v>1.2</v>
      </c>
      <c r="H55" s="4">
        <v>20</v>
      </c>
      <c r="I55" s="4">
        <v>5.0999999999999996</v>
      </c>
      <c r="J55" s="4">
        <v>2.6</v>
      </c>
      <c r="K55" s="4">
        <v>57</v>
      </c>
    </row>
    <row r="56" spans="1:15" x14ac:dyDescent="0.25">
      <c r="A56" s="26" t="str">
        <f t="shared" si="2"/>
        <v>Cloudray-17CS01A-100</v>
      </c>
      <c r="B56" s="4" t="s">
        <v>180</v>
      </c>
      <c r="C56" s="4" t="s">
        <v>183</v>
      </c>
      <c r="D56" s="20">
        <v>17</v>
      </c>
      <c r="E56" s="4">
        <v>34</v>
      </c>
      <c r="F56" s="4">
        <v>1.8</v>
      </c>
      <c r="G56" s="4">
        <v>1</v>
      </c>
      <c r="H56" s="4">
        <v>15</v>
      </c>
      <c r="I56" s="4">
        <v>1.89</v>
      </c>
      <c r="J56" s="4">
        <v>1.28</v>
      </c>
      <c r="K56" s="4">
        <v>41</v>
      </c>
      <c r="N56">
        <v>11.14</v>
      </c>
      <c r="O56" t="s">
        <v>184</v>
      </c>
    </row>
    <row r="57" spans="1:15" x14ac:dyDescent="0.25">
      <c r="A57" t="str">
        <f t="shared" si="2"/>
        <v>Cloudray-17CS05A-180E</v>
      </c>
      <c r="B57" s="4" t="s">
        <v>180</v>
      </c>
      <c r="C57" s="4" t="s">
        <v>185</v>
      </c>
      <c r="D57" s="20">
        <v>17</v>
      </c>
      <c r="E57" s="4">
        <v>48</v>
      </c>
      <c r="F57" s="4">
        <v>1.8</v>
      </c>
      <c r="G57" s="4">
        <v>1.8</v>
      </c>
      <c r="H57" s="4">
        <v>52</v>
      </c>
      <c r="I57" s="4">
        <v>5.8</v>
      </c>
      <c r="J57" s="4">
        <v>2.4</v>
      </c>
      <c r="K57" s="4">
        <v>82</v>
      </c>
    </row>
    <row r="58" spans="1:15" x14ac:dyDescent="0.25">
      <c r="A58" t="str">
        <f t="shared" si="2"/>
        <v>JKongMotor-JK42HS40-1004-02F</v>
      </c>
      <c r="B58" s="4" t="s">
        <v>186</v>
      </c>
      <c r="C58" s="4" t="s">
        <v>187</v>
      </c>
      <c r="D58" s="20">
        <v>17</v>
      </c>
      <c r="E58" s="4">
        <v>40</v>
      </c>
      <c r="F58" s="4">
        <v>1.8</v>
      </c>
      <c r="G58" s="4">
        <v>1</v>
      </c>
      <c r="H58" s="4">
        <v>42</v>
      </c>
      <c r="I58" s="4">
        <v>8.9</v>
      </c>
      <c r="J58" s="4">
        <v>3.9</v>
      </c>
      <c r="K58" s="4">
        <v>54</v>
      </c>
    </row>
    <row r="59" spans="1:15" x14ac:dyDescent="0.25">
      <c r="A59" t="str">
        <f t="shared" si="2"/>
        <v>JKongMotor-JK42HS40-1704</v>
      </c>
      <c r="B59" s="4" t="s">
        <v>186</v>
      </c>
      <c r="C59" s="4" t="s">
        <v>188</v>
      </c>
      <c r="D59" s="20">
        <v>17</v>
      </c>
      <c r="E59" s="4">
        <v>40</v>
      </c>
      <c r="F59" s="4">
        <v>1.8</v>
      </c>
      <c r="G59" s="4">
        <v>1.7</v>
      </c>
      <c r="H59" s="4">
        <v>42</v>
      </c>
      <c r="I59" s="4">
        <v>2.2999999999999998</v>
      </c>
      <c r="J59" s="4">
        <v>1.5</v>
      </c>
      <c r="K59" s="4">
        <v>54</v>
      </c>
    </row>
    <row r="60" spans="1:15" x14ac:dyDescent="0.25">
      <c r="A60" t="str">
        <f t="shared" si="2"/>
        <v>Noname-B0459</v>
      </c>
      <c r="B60" s="4" t="s">
        <v>189</v>
      </c>
      <c r="C60" s="4" t="s">
        <v>190</v>
      </c>
      <c r="D60" s="20">
        <v>17</v>
      </c>
      <c r="E60" s="4">
        <v>47</v>
      </c>
      <c r="F60" s="4">
        <v>1.8</v>
      </c>
      <c r="G60" s="4">
        <v>2</v>
      </c>
      <c r="H60" s="4">
        <v>56</v>
      </c>
      <c r="I60" s="4">
        <v>1.9</v>
      </c>
      <c r="J60" s="4">
        <v>1.3</v>
      </c>
      <c r="K60" s="4">
        <v>82</v>
      </c>
    </row>
    <row r="61" spans="1:15" x14ac:dyDescent="0.25">
      <c r="A61" t="str">
        <f t="shared" si="2"/>
        <v>Hanpose-17HS8401</v>
      </c>
      <c r="B61" s="4" t="s">
        <v>163</v>
      </c>
      <c r="C61" s="4" t="s">
        <v>191</v>
      </c>
      <c r="D61" s="20">
        <v>17</v>
      </c>
      <c r="E61" s="4">
        <v>48</v>
      </c>
      <c r="F61" s="4">
        <v>1.8</v>
      </c>
      <c r="G61" s="4">
        <v>1.8</v>
      </c>
      <c r="H61" s="4">
        <v>52</v>
      </c>
      <c r="I61" s="4">
        <v>3.2</v>
      </c>
      <c r="J61" s="4">
        <v>1.8</v>
      </c>
      <c r="K61" s="4">
        <v>68</v>
      </c>
    </row>
    <row r="62" spans="1:15" x14ac:dyDescent="0.25">
      <c r="A62" s="26" t="str">
        <f t="shared" si="2"/>
        <v>G-Penny-42HS4825A4</v>
      </c>
      <c r="B62" s="4" t="s">
        <v>192</v>
      </c>
      <c r="C62" s="4" t="s">
        <v>193</v>
      </c>
      <c r="D62" s="20">
        <v>17</v>
      </c>
      <c r="E62" s="4">
        <v>48</v>
      </c>
      <c r="F62" s="4">
        <v>1.8</v>
      </c>
      <c r="G62" s="4">
        <v>2.5</v>
      </c>
      <c r="H62" s="4">
        <v>50</v>
      </c>
      <c r="I62" s="4">
        <v>1.8</v>
      </c>
      <c r="J62" s="4">
        <v>1.6</v>
      </c>
      <c r="K62" s="4">
        <v>68</v>
      </c>
    </row>
    <row r="63" spans="1:15" x14ac:dyDescent="0.25">
      <c r="A63" t="str">
        <f t="shared" si="2"/>
        <v>Noname-42x4</v>
      </c>
      <c r="B63" s="4" t="s">
        <v>189</v>
      </c>
      <c r="C63" s="4" t="s">
        <v>194</v>
      </c>
      <c r="D63" s="20">
        <v>17</v>
      </c>
      <c r="E63" s="4">
        <v>48</v>
      </c>
      <c r="F63" s="4">
        <v>1.8</v>
      </c>
      <c r="G63" s="4">
        <v>1.68</v>
      </c>
      <c r="H63" s="4">
        <v>44</v>
      </c>
      <c r="I63" s="4">
        <v>2.2999999999999998</v>
      </c>
      <c r="J63" s="4">
        <v>1.65</v>
      </c>
      <c r="K63" s="4">
        <v>68</v>
      </c>
      <c r="O63" s="9" t="s">
        <v>195</v>
      </c>
    </row>
    <row r="64" spans="1:15" x14ac:dyDescent="0.25">
      <c r="A64" t="str">
        <f t="shared" si="2"/>
        <v>RATTM-17HS3430</v>
      </c>
      <c r="B64" s="4" t="s">
        <v>196</v>
      </c>
      <c r="C64" s="4" t="s">
        <v>197</v>
      </c>
      <c r="D64" s="20">
        <v>17</v>
      </c>
      <c r="E64" s="4">
        <v>34</v>
      </c>
      <c r="F64" s="4">
        <v>1.8</v>
      </c>
      <c r="G64" s="4">
        <v>1.2</v>
      </c>
      <c r="H64" s="4">
        <v>28</v>
      </c>
      <c r="I64" s="4">
        <v>3.8</v>
      </c>
      <c r="J64" s="4">
        <v>2.2999999999999998</v>
      </c>
      <c r="K64" s="4">
        <v>34</v>
      </c>
    </row>
    <row r="65" spans="1:15" x14ac:dyDescent="0.25">
      <c r="A65" s="26" t="str">
        <f t="shared" si="2"/>
        <v>RATTM-17HS8403</v>
      </c>
      <c r="B65" s="4" t="s">
        <v>196</v>
      </c>
      <c r="C65" s="4" t="s">
        <v>198</v>
      </c>
      <c r="D65" s="20">
        <v>17</v>
      </c>
      <c r="E65" s="4">
        <v>48</v>
      </c>
      <c r="F65" s="4">
        <v>1.8</v>
      </c>
      <c r="G65" s="4">
        <v>2.2999999999999998</v>
      </c>
      <c r="H65" s="4">
        <v>46</v>
      </c>
      <c r="I65" s="4">
        <v>1.6</v>
      </c>
      <c r="J65" s="4">
        <v>1.2</v>
      </c>
      <c r="K65" s="4">
        <v>68</v>
      </c>
    </row>
    <row r="66" spans="1:15" x14ac:dyDescent="0.25">
      <c r="A66" t="str">
        <f t="shared" si="2"/>
        <v>RATTM-17HS3410</v>
      </c>
      <c r="B66" s="4" t="s">
        <v>196</v>
      </c>
      <c r="C66" s="4" t="s">
        <v>199</v>
      </c>
      <c r="D66" s="20">
        <v>17</v>
      </c>
      <c r="E66" s="4">
        <v>34</v>
      </c>
      <c r="F66" s="4">
        <v>1.8</v>
      </c>
      <c r="G66" s="4">
        <v>1.7</v>
      </c>
      <c r="H66" s="4">
        <v>28</v>
      </c>
      <c r="I66" s="4">
        <v>1.8</v>
      </c>
      <c r="J66" s="4">
        <v>1.2</v>
      </c>
      <c r="K66" s="4">
        <v>34</v>
      </c>
    </row>
    <row r="67" spans="1:15" x14ac:dyDescent="0.25">
      <c r="A67" t="str">
        <f t="shared" si="2"/>
        <v>YunTaiKe-42CM08</v>
      </c>
      <c r="B67" s="4" t="s">
        <v>201</v>
      </c>
      <c r="C67" s="4" t="s">
        <v>200</v>
      </c>
      <c r="D67" s="20">
        <v>17</v>
      </c>
      <c r="E67" s="4">
        <v>60</v>
      </c>
      <c r="F67" s="4">
        <v>1.8</v>
      </c>
      <c r="G67" s="4">
        <v>2.5</v>
      </c>
      <c r="H67" s="4">
        <v>80</v>
      </c>
      <c r="I67" s="4">
        <v>2.4</v>
      </c>
      <c r="J67" s="4">
        <v>1</v>
      </c>
      <c r="K67" s="4">
        <v>110</v>
      </c>
    </row>
    <row r="68" spans="1:15" x14ac:dyDescent="0.25">
      <c r="A68" t="str">
        <f t="shared" si="2"/>
        <v>YunTaiKe-42CM06</v>
      </c>
      <c r="B68" s="4" t="s">
        <v>201</v>
      </c>
      <c r="C68" s="4" t="s">
        <v>202</v>
      </c>
      <c r="D68" s="20">
        <v>17</v>
      </c>
      <c r="E68" s="4">
        <v>47</v>
      </c>
      <c r="F68" s="4">
        <v>1.8</v>
      </c>
      <c r="G68" s="4">
        <v>2.5</v>
      </c>
      <c r="H68" s="4">
        <v>60</v>
      </c>
      <c r="I68" s="4">
        <v>1.6</v>
      </c>
      <c r="J68" s="4">
        <v>0.9</v>
      </c>
      <c r="K68" s="4">
        <v>72</v>
      </c>
    </row>
    <row r="69" spans="1:15" x14ac:dyDescent="0.25">
      <c r="A69" s="26" t="str">
        <f t="shared" si="2"/>
        <v>YunTaiKe-42CM02</v>
      </c>
      <c r="B69" s="4" t="s">
        <v>201</v>
      </c>
      <c r="C69" s="4" t="s">
        <v>203</v>
      </c>
      <c r="D69" s="20">
        <v>17</v>
      </c>
      <c r="E69" s="4">
        <v>33</v>
      </c>
      <c r="F69" s="4">
        <v>1.8</v>
      </c>
      <c r="G69" s="4">
        <v>1.5</v>
      </c>
      <c r="H69" s="4">
        <v>20</v>
      </c>
      <c r="I69" s="4">
        <v>1.4</v>
      </c>
      <c r="J69" s="4">
        <v>1.4</v>
      </c>
      <c r="K69" s="4">
        <v>35</v>
      </c>
      <c r="O69" s="9" t="s">
        <v>204</v>
      </c>
    </row>
    <row r="70" spans="1:15" x14ac:dyDescent="0.25">
      <c r="A70" t="str">
        <f t="shared" si="2"/>
        <v>Wantai-42BYGHW811-06</v>
      </c>
      <c r="B70" s="4" t="s">
        <v>170</v>
      </c>
      <c r="C70" s="4" t="s">
        <v>207</v>
      </c>
      <c r="D70" s="20">
        <v>17</v>
      </c>
      <c r="E70" s="4">
        <v>48</v>
      </c>
      <c r="F70" s="4">
        <v>1.8</v>
      </c>
      <c r="G70" s="4">
        <v>2.5</v>
      </c>
      <c r="H70" s="4">
        <v>60</v>
      </c>
      <c r="I70" s="4">
        <v>1.75</v>
      </c>
      <c r="J70" s="4">
        <v>1</v>
      </c>
      <c r="K70" s="4">
        <v>68</v>
      </c>
      <c r="O70" t="s">
        <v>206</v>
      </c>
    </row>
    <row r="71" spans="1:15" x14ac:dyDescent="0.25">
      <c r="A71" t="str">
        <f t="shared" si="2"/>
        <v>Wantai-42BYGHW609</v>
      </c>
      <c r="B71" s="4" t="s">
        <v>170</v>
      </c>
      <c r="C71" s="4" t="s">
        <v>208</v>
      </c>
      <c r="D71" s="20">
        <v>17</v>
      </c>
      <c r="E71" s="4">
        <v>40</v>
      </c>
      <c r="F71" s="4">
        <v>1.8</v>
      </c>
      <c r="G71" s="4">
        <v>1.7</v>
      </c>
      <c r="H71" s="4">
        <v>40</v>
      </c>
      <c r="I71" s="4">
        <v>2.8</v>
      </c>
      <c r="J71" s="4">
        <v>2</v>
      </c>
      <c r="K71" s="4">
        <v>54</v>
      </c>
    </row>
    <row r="72" spans="1:15" x14ac:dyDescent="0.25">
      <c r="A72" t="s">
        <v>209</v>
      </c>
      <c r="B72" s="4" t="s">
        <v>15</v>
      </c>
      <c r="C72" t="s">
        <v>209</v>
      </c>
      <c r="D72" s="20">
        <v>17</v>
      </c>
      <c r="E72" s="4">
        <v>42</v>
      </c>
      <c r="F72" s="4">
        <v>1.8</v>
      </c>
      <c r="G72" s="4">
        <v>2.8</v>
      </c>
      <c r="H72" s="4">
        <v>42</v>
      </c>
      <c r="I72" s="4">
        <v>0.6</v>
      </c>
      <c r="J72" s="4">
        <v>0.7</v>
      </c>
      <c r="K72" s="4">
        <v>84.5</v>
      </c>
      <c r="L72" s="4" t="s">
        <v>216</v>
      </c>
    </row>
    <row r="73" spans="1:15" x14ac:dyDescent="0.25">
      <c r="A73" t="s">
        <v>210</v>
      </c>
      <c r="B73" s="4" t="s">
        <v>15</v>
      </c>
      <c r="C73" s="4" t="s">
        <v>210</v>
      </c>
      <c r="D73" s="20">
        <v>17</v>
      </c>
      <c r="E73" s="4">
        <v>42</v>
      </c>
      <c r="F73" s="4">
        <v>1.8</v>
      </c>
      <c r="G73" s="4">
        <v>2.5</v>
      </c>
      <c r="H73" s="4">
        <v>55</v>
      </c>
      <c r="I73" s="4">
        <v>1.5</v>
      </c>
      <c r="J73" s="4">
        <v>1.2</v>
      </c>
      <c r="K73" s="4">
        <v>84.5</v>
      </c>
      <c r="L73" s="4" t="s">
        <v>220</v>
      </c>
    </row>
    <row r="74" spans="1:15" x14ac:dyDescent="0.25">
      <c r="A74" t="s">
        <v>211</v>
      </c>
      <c r="B74" s="4" t="s">
        <v>211</v>
      </c>
      <c r="C74" s="4" t="s">
        <v>211</v>
      </c>
      <c r="D74" s="20">
        <v>17</v>
      </c>
      <c r="E74" s="4">
        <v>60</v>
      </c>
      <c r="F74" s="4">
        <v>1.8</v>
      </c>
      <c r="G74" s="4">
        <v>3</v>
      </c>
      <c r="H74" s="4">
        <v>80</v>
      </c>
      <c r="I74" s="4">
        <v>1.6</v>
      </c>
      <c r="J74" s="4">
        <v>1</v>
      </c>
      <c r="K74" s="4">
        <v>100</v>
      </c>
      <c r="L74" s="4" t="s">
        <v>226</v>
      </c>
    </row>
    <row r="75" spans="1:15" x14ac:dyDescent="0.25">
      <c r="A75" t="s">
        <v>212</v>
      </c>
      <c r="B75" s="4" t="s">
        <v>213</v>
      </c>
      <c r="C75" s="4" t="s">
        <v>212</v>
      </c>
      <c r="D75" s="20">
        <v>17</v>
      </c>
      <c r="E75" s="4">
        <v>48</v>
      </c>
      <c r="F75" s="4">
        <v>1.8</v>
      </c>
      <c r="G75" s="4">
        <v>2.5</v>
      </c>
      <c r="H75" s="4">
        <v>60</v>
      </c>
      <c r="I75" s="4">
        <f>0.0016*1000</f>
        <v>1.6</v>
      </c>
      <c r="J75" s="4">
        <v>0.9</v>
      </c>
      <c r="K75" s="4">
        <v>72</v>
      </c>
      <c r="L75" s="4" t="s">
        <v>219</v>
      </c>
    </row>
    <row r="76" spans="1:15" x14ac:dyDescent="0.25">
      <c r="A76" t="s">
        <v>221</v>
      </c>
      <c r="B76" s="4" t="s">
        <v>213</v>
      </c>
      <c r="C76" s="4" t="s">
        <v>212</v>
      </c>
      <c r="D76" s="20">
        <v>17</v>
      </c>
      <c r="E76" s="4">
        <v>48</v>
      </c>
      <c r="F76" s="4">
        <v>1.8</v>
      </c>
      <c r="G76" s="4">
        <v>2.5</v>
      </c>
      <c r="H76" s="4">
        <v>60</v>
      </c>
      <c r="I76" s="4">
        <f>0.0016*1000</f>
        <v>1.6</v>
      </c>
      <c r="J76" s="4">
        <v>0.9</v>
      </c>
      <c r="K76" s="4">
        <v>72</v>
      </c>
    </row>
    <row r="77" spans="1:15" x14ac:dyDescent="0.25">
      <c r="A77" t="s">
        <v>231</v>
      </c>
      <c r="B77" s="4" t="s">
        <v>230</v>
      </c>
      <c r="C77" t="s">
        <v>231</v>
      </c>
      <c r="D77" s="20">
        <v>17</v>
      </c>
      <c r="E77" s="4">
        <v>60</v>
      </c>
      <c r="F77" s="4">
        <v>1.8</v>
      </c>
      <c r="G77" s="4">
        <v>2.5</v>
      </c>
      <c r="H77" s="4">
        <v>80</v>
      </c>
      <c r="I77" s="4">
        <v>2.4</v>
      </c>
      <c r="J77" s="4">
        <v>1</v>
      </c>
      <c r="K77" s="4">
        <v>110</v>
      </c>
      <c r="L77" s="4" t="s">
        <v>232</v>
      </c>
    </row>
  </sheetData>
  <autoFilter ref="A2:N71" xr:uid="{4E5820D9-FC51-B24E-8652-C82A7458A230}">
    <sortState xmlns:xlrd2="http://schemas.microsoft.com/office/spreadsheetml/2017/richdata2" ref="A3:N47">
      <sortCondition ref="A2:A47"/>
    </sortState>
  </autoFilter>
  <conditionalFormatting sqref="D1:D2 D26:D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2 F26:F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2 G26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2 H26:H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2 I26:I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2 J26:J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2 E26:E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M2 K26:M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M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O3" r:id="rId1" xr:uid="{C7F4A204-5E8A-F34C-A4B5-C4237E239CD3}"/>
    <hyperlink ref="O4" r:id="rId2" xr:uid="{BFFC71A6-02F4-434E-8AC0-97FAB285E2DA}"/>
    <hyperlink ref="O63" r:id="rId3" xr:uid="{72C32F4D-DF86-DC46-B426-CC75B46E3C7F}"/>
    <hyperlink ref="O69" r:id="rId4" xr:uid="{FEA57A9D-4EE0-9A4A-B513-E7F4256AE5B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sheetPr codeName="Sheet2"/>
  <dimension ref="A1:N195"/>
  <sheetViews>
    <sheetView zoomScaleNormal="100" workbookViewId="0">
      <selection activeCell="C6" sqref="C6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7"/>
    <col min="10" max="11" width="8.85546875" style="18"/>
  </cols>
  <sheetData>
    <row r="1" spans="1:14" x14ac:dyDescent="0.25">
      <c r="A1" t="s">
        <v>2</v>
      </c>
      <c r="B1" t="s">
        <v>148</v>
      </c>
      <c r="D1" s="12" t="s">
        <v>130</v>
      </c>
      <c r="E1" s="12" t="s">
        <v>131</v>
      </c>
      <c r="F1" s="13" t="s">
        <v>132</v>
      </c>
      <c r="G1" s="13" t="s">
        <v>133</v>
      </c>
      <c r="H1" s="13" t="s">
        <v>134</v>
      </c>
      <c r="I1" s="13" t="s">
        <v>135</v>
      </c>
      <c r="J1" s="13" t="s">
        <v>136</v>
      </c>
      <c r="K1" s="13" t="s">
        <v>137</v>
      </c>
      <c r="L1" s="14" t="s">
        <v>138</v>
      </c>
      <c r="M1" s="15" t="s">
        <v>139</v>
      </c>
      <c r="N1" s="15" t="s">
        <v>140</v>
      </c>
    </row>
    <row r="2" spans="1:14" x14ac:dyDescent="0.25">
      <c r="A2" s="16" t="s">
        <v>141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5">
      <c r="A3" s="1" t="s">
        <v>142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5">
      <c r="A4" s="1" t="s">
        <v>143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5">
      <c r="A5" s="1" t="s">
        <v>144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5">
      <c r="A6" s="1" t="s">
        <v>145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5">
      <c r="A8" s="1" t="s">
        <v>146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5">
      <c r="A9" s="16" t="s">
        <v>147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5">
      <c r="A12" t="s">
        <v>149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4</vt:i4>
      </vt:variant>
    </vt:vector>
  </HeadingPairs>
  <TitlesOfParts>
    <vt:vector size="8" baseType="lpstr">
      <vt:lpstr>UI</vt:lpstr>
      <vt:lpstr>Curves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Volodymyr Gubanovych</cp:lastModifiedBy>
  <cp:revision/>
  <dcterms:created xsi:type="dcterms:W3CDTF">2020-01-03T20:05:09Z</dcterms:created>
  <dcterms:modified xsi:type="dcterms:W3CDTF">2025-12-02T16:46:44Z</dcterms:modified>
  <cp:category/>
  <cp:contentStatus/>
</cp:coreProperties>
</file>